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arlh\Downloads\"/>
    </mc:Choice>
  </mc:AlternateContent>
  <xr:revisionPtr revIDLastSave="0" documentId="13_ncr:1_{F9AA83E7-1D7D-449C-BE56-E4C3C37066B9}" xr6:coauthVersionLast="47" xr6:coauthVersionMax="47" xr10:uidLastSave="{00000000-0000-0000-0000-000000000000}"/>
  <bookViews>
    <workbookView xWindow="-110" yWindow="-110" windowWidth="38620" windowHeight="21100" tabRatio="500" xr2:uid="{00000000-000D-0000-FFFF-FFFF00000000}"/>
  </bookViews>
  <sheets>
    <sheet name="Summary" sheetId="1" r:id="rId1"/>
    <sheet name="Drivers &amp; Assumptions" sheetId="2" r:id="rId2"/>
    <sheet name="DTC Revenue" sheetId="3" r:id="rId3"/>
    <sheet name="Wholesale by Country" sheetId="4" r:id="rId4"/>
    <sheet name="Retail Revenue" sheetId="5" r:id="rId5"/>
    <sheet name="Revenue Consolidation" sheetId="6" r:id="rId6"/>
    <sheet name="P&amp;L" sheetId="7" r:id="rId7"/>
    <sheet name="Balance Sheet" sheetId="8" r:id="rId8"/>
    <sheet name="Cash Flow" sheetId="9" r:id="rId9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11" i="3" l="1"/>
  <c r="J30" i="3"/>
  <c r="B22" i="7"/>
  <c r="B28" i="7"/>
  <c r="C28" i="7"/>
  <c r="D28" i="7"/>
  <c r="E28" i="7"/>
  <c r="F28" i="7"/>
  <c r="G28" i="7"/>
  <c r="H28" i="7"/>
  <c r="I28" i="7"/>
  <c r="C11" i="3"/>
  <c r="C22" i="7" s="1"/>
  <c r="B29" i="9"/>
  <c r="BI26" i="9"/>
  <c r="BH26" i="9"/>
  <c r="BG26" i="9"/>
  <c r="BF26" i="9"/>
  <c r="BE26" i="9"/>
  <c r="BD26" i="9"/>
  <c r="BC26" i="9"/>
  <c r="BB26" i="9"/>
  <c r="BA26" i="9"/>
  <c r="AZ26" i="9"/>
  <c r="AY26" i="9"/>
  <c r="AX26" i="9"/>
  <c r="AW26" i="9"/>
  <c r="AV26" i="9"/>
  <c r="AU26" i="9"/>
  <c r="AT26" i="9"/>
  <c r="AS26" i="9"/>
  <c r="AR26" i="9"/>
  <c r="AQ26" i="9"/>
  <c r="AP26" i="9"/>
  <c r="AO26" i="9"/>
  <c r="AN26" i="9"/>
  <c r="AM26" i="9"/>
  <c r="AL26" i="9"/>
  <c r="AK26" i="9"/>
  <c r="AJ26" i="9"/>
  <c r="AI26" i="9"/>
  <c r="AH26" i="9"/>
  <c r="AG26" i="9"/>
  <c r="AF26" i="9"/>
  <c r="AE26" i="9"/>
  <c r="AD26" i="9"/>
  <c r="AC26" i="9"/>
  <c r="AB26" i="9"/>
  <c r="AA26" i="9"/>
  <c r="Z26" i="9"/>
  <c r="Y26" i="9"/>
  <c r="X26" i="9"/>
  <c r="W26" i="9"/>
  <c r="V26" i="9"/>
  <c r="U26" i="9"/>
  <c r="T26" i="9"/>
  <c r="S26" i="9"/>
  <c r="R26" i="9"/>
  <c r="Q26" i="9"/>
  <c r="P26" i="9"/>
  <c r="O26" i="9"/>
  <c r="N26" i="9"/>
  <c r="M26" i="9"/>
  <c r="L26" i="9"/>
  <c r="K26" i="9"/>
  <c r="J26" i="9"/>
  <c r="I26" i="9"/>
  <c r="H26" i="9"/>
  <c r="G26" i="9"/>
  <c r="F26" i="9"/>
  <c r="E26" i="9"/>
  <c r="D26" i="9"/>
  <c r="C26" i="9"/>
  <c r="B26" i="9"/>
  <c r="BI22" i="9"/>
  <c r="BF22" i="9"/>
  <c r="AN22" i="9"/>
  <c r="AM22" i="9"/>
  <c r="AL22" i="9"/>
  <c r="AK22" i="9"/>
  <c r="AJ22" i="9"/>
  <c r="AH22" i="9"/>
  <c r="AG22" i="9"/>
  <c r="AF22" i="9"/>
  <c r="AE22" i="9"/>
  <c r="AD22" i="9"/>
  <c r="AC22" i="9"/>
  <c r="AB22" i="9"/>
  <c r="AA22" i="9"/>
  <c r="Z22" i="9"/>
  <c r="Y22" i="9"/>
  <c r="X22" i="9"/>
  <c r="W22" i="9"/>
  <c r="V22" i="9"/>
  <c r="U22" i="9"/>
  <c r="H22" i="9"/>
  <c r="G22" i="9"/>
  <c r="F22" i="9"/>
  <c r="E22" i="9"/>
  <c r="BI21" i="9"/>
  <c r="BH21" i="9"/>
  <c r="BH22" i="9" s="1"/>
  <c r="BG21" i="9"/>
  <c r="BG22" i="9" s="1"/>
  <c r="BF21" i="9"/>
  <c r="BE21" i="9"/>
  <c r="BE22" i="9" s="1"/>
  <c r="BD21" i="9"/>
  <c r="BD22" i="9" s="1"/>
  <c r="BC21" i="9"/>
  <c r="BC22" i="9" s="1"/>
  <c r="BB21" i="9"/>
  <c r="BB22" i="9" s="1"/>
  <c r="BA21" i="9"/>
  <c r="BA22" i="9" s="1"/>
  <c r="AZ21" i="9"/>
  <c r="AZ22" i="9" s="1"/>
  <c r="AY21" i="9"/>
  <c r="AY22" i="9" s="1"/>
  <c r="AX21" i="9"/>
  <c r="AX22" i="9" s="1"/>
  <c r="AW21" i="9"/>
  <c r="AW22" i="9" s="1"/>
  <c r="AV21" i="9"/>
  <c r="AV22" i="9" s="1"/>
  <c r="AU21" i="9"/>
  <c r="AU22" i="9" s="1"/>
  <c r="AT21" i="9"/>
  <c r="AT22" i="9" s="1"/>
  <c r="AS21" i="9"/>
  <c r="AS22" i="9" s="1"/>
  <c r="AR21" i="9"/>
  <c r="AR22" i="9" s="1"/>
  <c r="AQ21" i="9"/>
  <c r="AQ22" i="9" s="1"/>
  <c r="AP21" i="9"/>
  <c r="AP22" i="9" s="1"/>
  <c r="AO21" i="9"/>
  <c r="AO22" i="9" s="1"/>
  <c r="AN21" i="9"/>
  <c r="AM21" i="9"/>
  <c r="AL21" i="9"/>
  <c r="AK21" i="9"/>
  <c r="AJ21" i="9"/>
  <c r="AI21" i="9"/>
  <c r="AI22" i="9" s="1"/>
  <c r="AH21" i="9"/>
  <c r="AG21" i="9"/>
  <c r="AF21" i="9"/>
  <c r="AE21" i="9"/>
  <c r="AD21" i="9"/>
  <c r="AC21" i="9"/>
  <c r="AB21" i="9"/>
  <c r="AA21" i="9"/>
  <c r="Z21" i="9"/>
  <c r="Y21" i="9"/>
  <c r="X21" i="9"/>
  <c r="W21" i="9"/>
  <c r="V21" i="9"/>
  <c r="U21" i="9"/>
  <c r="T21" i="9"/>
  <c r="T22" i="9" s="1"/>
  <c r="S21" i="9"/>
  <c r="S22" i="9" s="1"/>
  <c r="R21" i="9"/>
  <c r="R22" i="9" s="1"/>
  <c r="Q21" i="9"/>
  <c r="Q22" i="9" s="1"/>
  <c r="P21" i="9"/>
  <c r="P22" i="9" s="1"/>
  <c r="O21" i="9"/>
  <c r="O22" i="9" s="1"/>
  <c r="N21" i="9"/>
  <c r="N22" i="9" s="1"/>
  <c r="M21" i="9"/>
  <c r="M22" i="9" s="1"/>
  <c r="L21" i="9"/>
  <c r="L22" i="9" s="1"/>
  <c r="K21" i="9"/>
  <c r="K22" i="9" s="1"/>
  <c r="J21" i="9"/>
  <c r="J22" i="9" s="1"/>
  <c r="I21" i="9"/>
  <c r="I22" i="9" s="1"/>
  <c r="H21" i="9"/>
  <c r="G21" i="9"/>
  <c r="F21" i="9"/>
  <c r="E21" i="9"/>
  <c r="D21" i="9"/>
  <c r="D22" i="9" s="1"/>
  <c r="C21" i="9"/>
  <c r="C22" i="9" s="1"/>
  <c r="B21" i="9"/>
  <c r="B22" i="9" s="1"/>
  <c r="BI8" i="9"/>
  <c r="BH8" i="9"/>
  <c r="BG8" i="9"/>
  <c r="BF8" i="9"/>
  <c r="BE8" i="9"/>
  <c r="BD8" i="9"/>
  <c r="BC8" i="9"/>
  <c r="BB8" i="9"/>
  <c r="BA8" i="9"/>
  <c r="AZ8" i="9"/>
  <c r="AY8" i="9"/>
  <c r="AX8" i="9"/>
  <c r="AW8" i="9"/>
  <c r="AV8" i="9"/>
  <c r="AU8" i="9"/>
  <c r="AT8" i="9"/>
  <c r="AS8" i="9"/>
  <c r="AR8" i="9"/>
  <c r="AQ8" i="9"/>
  <c r="AP8" i="9"/>
  <c r="AO8" i="9"/>
  <c r="AN8" i="9"/>
  <c r="AM8" i="9"/>
  <c r="AL8" i="9"/>
  <c r="AK8" i="9"/>
  <c r="AJ8" i="9"/>
  <c r="AI8" i="9"/>
  <c r="AH8" i="9"/>
  <c r="AG8" i="9"/>
  <c r="AF8" i="9"/>
  <c r="AE8" i="9"/>
  <c r="AD8" i="9"/>
  <c r="AC8" i="9"/>
  <c r="AB8" i="9"/>
  <c r="AA8" i="9"/>
  <c r="Z8" i="9"/>
  <c r="Y8" i="9"/>
  <c r="X8" i="9"/>
  <c r="W8" i="9"/>
  <c r="V8" i="9"/>
  <c r="U8" i="9"/>
  <c r="T8" i="9"/>
  <c r="S8" i="9"/>
  <c r="R8" i="9"/>
  <c r="Q8" i="9"/>
  <c r="P8" i="9"/>
  <c r="O8" i="9"/>
  <c r="N8" i="9"/>
  <c r="M8" i="9"/>
  <c r="L8" i="9"/>
  <c r="K8" i="9"/>
  <c r="J8" i="9"/>
  <c r="I8" i="9"/>
  <c r="H8" i="9"/>
  <c r="G8" i="9"/>
  <c r="F8" i="9"/>
  <c r="E8" i="9"/>
  <c r="D8" i="9"/>
  <c r="C8" i="9"/>
  <c r="B8" i="9"/>
  <c r="BI24" i="8"/>
  <c r="BH24" i="8"/>
  <c r="BG24" i="8"/>
  <c r="BF24" i="8"/>
  <c r="BE24" i="8"/>
  <c r="BD24" i="8"/>
  <c r="BC24" i="8"/>
  <c r="BB24" i="8"/>
  <c r="BA24" i="8"/>
  <c r="AZ24" i="8"/>
  <c r="AY24" i="8"/>
  <c r="AX24" i="8"/>
  <c r="AW24" i="8"/>
  <c r="AV24" i="8"/>
  <c r="AU24" i="8"/>
  <c r="AT24" i="8"/>
  <c r="AS24" i="8"/>
  <c r="AR24" i="8"/>
  <c r="AQ24" i="8"/>
  <c r="AP24" i="8"/>
  <c r="AO24" i="8"/>
  <c r="AN24" i="8"/>
  <c r="AM24" i="8"/>
  <c r="AL24" i="8"/>
  <c r="AK24" i="8"/>
  <c r="AJ24" i="8"/>
  <c r="AI24" i="8"/>
  <c r="AH24" i="8"/>
  <c r="AG24" i="8"/>
  <c r="AF24" i="8"/>
  <c r="AE24" i="8"/>
  <c r="AD24" i="8"/>
  <c r="AC24" i="8"/>
  <c r="AB24" i="8"/>
  <c r="AA24" i="8"/>
  <c r="Z24" i="8"/>
  <c r="Y24" i="8"/>
  <c r="X24" i="8"/>
  <c r="W24" i="8"/>
  <c r="V24" i="8"/>
  <c r="U24" i="8"/>
  <c r="T24" i="8"/>
  <c r="S24" i="8"/>
  <c r="R24" i="8"/>
  <c r="Q24" i="8"/>
  <c r="P24" i="8"/>
  <c r="O24" i="8"/>
  <c r="N24" i="8"/>
  <c r="M24" i="8"/>
  <c r="L24" i="8"/>
  <c r="K24" i="8"/>
  <c r="J24" i="8"/>
  <c r="I24" i="8"/>
  <c r="H24" i="8"/>
  <c r="G24" i="8"/>
  <c r="F24" i="8"/>
  <c r="E24" i="8"/>
  <c r="D24" i="8"/>
  <c r="C24" i="8"/>
  <c r="B24" i="8"/>
  <c r="C13" i="8"/>
  <c r="D13" i="8" s="1"/>
  <c r="E13" i="8" s="1"/>
  <c r="F13" i="8" s="1"/>
  <c r="G13" i="8" s="1"/>
  <c r="H13" i="8" s="1"/>
  <c r="I13" i="8" s="1"/>
  <c r="J13" i="8" s="1"/>
  <c r="K13" i="8" s="1"/>
  <c r="L13" i="8" s="1"/>
  <c r="M13" i="8" s="1"/>
  <c r="N13" i="8" s="1"/>
  <c r="O13" i="8" s="1"/>
  <c r="P13" i="8" s="1"/>
  <c r="Q13" i="8" s="1"/>
  <c r="R13" i="8" s="1"/>
  <c r="S13" i="8" s="1"/>
  <c r="T13" i="8" s="1"/>
  <c r="U13" i="8" s="1"/>
  <c r="V13" i="8" s="1"/>
  <c r="W13" i="8" s="1"/>
  <c r="X13" i="8" s="1"/>
  <c r="Y13" i="8" s="1"/>
  <c r="Z13" i="8" s="1"/>
  <c r="AA13" i="8" s="1"/>
  <c r="AB13" i="8" s="1"/>
  <c r="AC13" i="8" s="1"/>
  <c r="AD13" i="8" s="1"/>
  <c r="AE13" i="8" s="1"/>
  <c r="AF13" i="8" s="1"/>
  <c r="AG13" i="8" s="1"/>
  <c r="AH13" i="8" s="1"/>
  <c r="AI13" i="8" s="1"/>
  <c r="AJ13" i="8" s="1"/>
  <c r="AK13" i="8" s="1"/>
  <c r="AL13" i="8" s="1"/>
  <c r="AM13" i="8" s="1"/>
  <c r="AN13" i="8" s="1"/>
  <c r="AO13" i="8" s="1"/>
  <c r="AP13" i="8" s="1"/>
  <c r="AQ13" i="8" s="1"/>
  <c r="AR13" i="8" s="1"/>
  <c r="AS13" i="8" s="1"/>
  <c r="AT13" i="8" s="1"/>
  <c r="AU13" i="8" s="1"/>
  <c r="AV13" i="8" s="1"/>
  <c r="AW13" i="8" s="1"/>
  <c r="AX13" i="8" s="1"/>
  <c r="AY13" i="8" s="1"/>
  <c r="AZ13" i="8" s="1"/>
  <c r="BA13" i="8" s="1"/>
  <c r="BB13" i="8" s="1"/>
  <c r="BC13" i="8" s="1"/>
  <c r="BD13" i="8" s="1"/>
  <c r="BE13" i="8" s="1"/>
  <c r="BF13" i="8" s="1"/>
  <c r="BG13" i="8" s="1"/>
  <c r="BH13" i="8" s="1"/>
  <c r="BI13" i="8" s="1"/>
  <c r="B13" i="8"/>
  <c r="BI30" i="7"/>
  <c r="BH30" i="7"/>
  <c r="BG30" i="7"/>
  <c r="BF30" i="7"/>
  <c r="BE30" i="7"/>
  <c r="BD30" i="7"/>
  <c r="BC30" i="7"/>
  <c r="BB30" i="7"/>
  <c r="BA30" i="7"/>
  <c r="AZ30" i="7"/>
  <c r="AY30" i="7"/>
  <c r="AX30" i="7"/>
  <c r="AW30" i="7"/>
  <c r="AV30" i="7"/>
  <c r="AU30" i="7"/>
  <c r="AT30" i="7"/>
  <c r="AS30" i="7"/>
  <c r="AR30" i="7"/>
  <c r="AQ30" i="7"/>
  <c r="AP30" i="7"/>
  <c r="AO30" i="7"/>
  <c r="AN30" i="7"/>
  <c r="AM30" i="7"/>
  <c r="AL30" i="7"/>
  <c r="AK30" i="7"/>
  <c r="AJ30" i="7"/>
  <c r="AI30" i="7"/>
  <c r="AH30" i="7"/>
  <c r="AG30" i="7"/>
  <c r="AF30" i="7"/>
  <c r="AE30" i="7"/>
  <c r="AD30" i="7"/>
  <c r="D30" i="1" s="1"/>
  <c r="AC30" i="7"/>
  <c r="AB30" i="7"/>
  <c r="AA30" i="7"/>
  <c r="Z30" i="7"/>
  <c r="Y30" i="7"/>
  <c r="X30" i="7"/>
  <c r="W30" i="7"/>
  <c r="V30" i="7"/>
  <c r="U30" i="7"/>
  <c r="T30" i="7"/>
  <c r="S30" i="7"/>
  <c r="R30" i="7"/>
  <c r="Q30" i="7"/>
  <c r="P30" i="7"/>
  <c r="O30" i="7"/>
  <c r="N30" i="7"/>
  <c r="M30" i="7"/>
  <c r="L30" i="7"/>
  <c r="K30" i="7"/>
  <c r="J30" i="7"/>
  <c r="I30" i="7"/>
  <c r="H30" i="7"/>
  <c r="G30" i="7"/>
  <c r="F30" i="7"/>
  <c r="E30" i="7"/>
  <c r="D30" i="7"/>
  <c r="C30" i="7"/>
  <c r="B30" i="7"/>
  <c r="BF29" i="7"/>
  <c r="BI28" i="7"/>
  <c r="BH28" i="7"/>
  <c r="BG28" i="7"/>
  <c r="BF28" i="7"/>
  <c r="BE28" i="7"/>
  <c r="BD28" i="7"/>
  <c r="BC28" i="7"/>
  <c r="BB28" i="7"/>
  <c r="BA28" i="7"/>
  <c r="AZ28" i="7"/>
  <c r="AY28" i="7"/>
  <c r="AX28" i="7"/>
  <c r="F28" i="1" s="1"/>
  <c r="AW28" i="7"/>
  <c r="AV28" i="7"/>
  <c r="AU28" i="7"/>
  <c r="AT28" i="7"/>
  <c r="AS28" i="7"/>
  <c r="AR28" i="7"/>
  <c r="AQ28" i="7"/>
  <c r="AP28" i="7"/>
  <c r="AO28" i="7"/>
  <c r="AN28" i="7"/>
  <c r="AM28" i="7"/>
  <c r="E28" i="1" s="1"/>
  <c r="AL28" i="7"/>
  <c r="AK28" i="7"/>
  <c r="AJ28" i="7"/>
  <c r="AI28" i="7"/>
  <c r="AH28" i="7"/>
  <c r="AG28" i="7"/>
  <c r="AF28" i="7"/>
  <c r="AE28" i="7"/>
  <c r="AD28" i="7"/>
  <c r="AC28" i="7"/>
  <c r="AB28" i="7"/>
  <c r="AA28" i="7"/>
  <c r="Z28" i="7"/>
  <c r="Y28" i="7"/>
  <c r="X28" i="7"/>
  <c r="W28" i="7"/>
  <c r="V28" i="7"/>
  <c r="U28" i="7"/>
  <c r="T28" i="7"/>
  <c r="S28" i="7"/>
  <c r="R28" i="7"/>
  <c r="Q28" i="7"/>
  <c r="P28" i="7"/>
  <c r="O28" i="7"/>
  <c r="N28" i="7"/>
  <c r="C28" i="1" s="1"/>
  <c r="M28" i="7"/>
  <c r="L28" i="7"/>
  <c r="K28" i="7"/>
  <c r="J28" i="7"/>
  <c r="B28" i="1"/>
  <c r="BI27" i="7"/>
  <c r="BH27" i="7"/>
  <c r="BG27" i="7"/>
  <c r="BF27" i="7"/>
  <c r="BE27" i="7"/>
  <c r="BD27" i="7"/>
  <c r="BC27" i="7"/>
  <c r="BB27" i="7"/>
  <c r="BA27" i="7"/>
  <c r="AZ27" i="7"/>
  <c r="AY27" i="7"/>
  <c r="AX27" i="7"/>
  <c r="F27" i="1" s="1"/>
  <c r="AW27" i="7"/>
  <c r="AV27" i="7"/>
  <c r="AU27" i="7"/>
  <c r="AT27" i="7"/>
  <c r="AS27" i="7"/>
  <c r="AR27" i="7"/>
  <c r="AQ27" i="7"/>
  <c r="AP27" i="7"/>
  <c r="AO27" i="7"/>
  <c r="AN27" i="7"/>
  <c r="AM27" i="7"/>
  <c r="AL27" i="7"/>
  <c r="E27" i="1" s="1"/>
  <c r="AK27" i="7"/>
  <c r="AJ27" i="7"/>
  <c r="AI27" i="7"/>
  <c r="D27" i="1" s="1"/>
  <c r="AH27" i="7"/>
  <c r="AG27" i="7"/>
  <c r="AF27" i="7"/>
  <c r="AE27" i="7"/>
  <c r="AD27" i="7"/>
  <c r="AC27" i="7"/>
  <c r="AB27" i="7"/>
  <c r="AA27" i="7"/>
  <c r="Z27" i="7"/>
  <c r="Y27" i="7"/>
  <c r="X27" i="7"/>
  <c r="W27" i="7"/>
  <c r="V27" i="7"/>
  <c r="U27" i="7"/>
  <c r="T27" i="7"/>
  <c r="S27" i="7"/>
  <c r="R27" i="7"/>
  <c r="Q27" i="7"/>
  <c r="P27" i="7"/>
  <c r="O27" i="7"/>
  <c r="N27" i="7"/>
  <c r="C27" i="1" s="1"/>
  <c r="M27" i="7"/>
  <c r="L27" i="7"/>
  <c r="K27" i="7"/>
  <c r="J27" i="7"/>
  <c r="I27" i="7"/>
  <c r="H27" i="7"/>
  <c r="G27" i="7"/>
  <c r="F27" i="7"/>
  <c r="E27" i="7"/>
  <c r="D27" i="7"/>
  <c r="C27" i="7"/>
  <c r="B27" i="1" s="1"/>
  <c r="B27" i="7"/>
  <c r="BI26" i="7"/>
  <c r="BH26" i="7"/>
  <c r="BG26" i="7"/>
  <c r="BF26" i="7"/>
  <c r="BE26" i="7"/>
  <c r="BD26" i="7"/>
  <c r="BC26" i="7"/>
  <c r="BB26" i="7"/>
  <c r="BA26" i="7"/>
  <c r="AZ26" i="7"/>
  <c r="AY26" i="7"/>
  <c r="AX26" i="7"/>
  <c r="F26" i="1" s="1"/>
  <c r="AW26" i="7"/>
  <c r="AV26" i="7"/>
  <c r="AU26" i="7"/>
  <c r="AT26" i="7"/>
  <c r="AS26" i="7"/>
  <c r="AR26" i="7"/>
  <c r="AQ26" i="7"/>
  <c r="AP26" i="7"/>
  <c r="AO26" i="7"/>
  <c r="AN26" i="7"/>
  <c r="AM26" i="7"/>
  <c r="AL26" i="7"/>
  <c r="E26" i="1" s="1"/>
  <c r="AK26" i="7"/>
  <c r="AJ26" i="7"/>
  <c r="AI26" i="7"/>
  <c r="AH26" i="7"/>
  <c r="AG26" i="7"/>
  <c r="AF26" i="7"/>
  <c r="AE26" i="7"/>
  <c r="D26" i="1" s="1"/>
  <c r="AD26" i="7"/>
  <c r="AC26" i="7"/>
  <c r="AB26" i="7"/>
  <c r="AA26" i="7"/>
  <c r="Z26" i="7"/>
  <c r="Y26" i="7"/>
  <c r="X26" i="7"/>
  <c r="W26" i="7"/>
  <c r="V26" i="7"/>
  <c r="U26" i="7"/>
  <c r="T26" i="7"/>
  <c r="S26" i="7"/>
  <c r="R26" i="7"/>
  <c r="Q26" i="7"/>
  <c r="P26" i="7"/>
  <c r="O26" i="7"/>
  <c r="N26" i="7"/>
  <c r="C26" i="1" s="1"/>
  <c r="M26" i="7"/>
  <c r="L26" i="7"/>
  <c r="K26" i="7"/>
  <c r="J26" i="7"/>
  <c r="I26" i="7"/>
  <c r="H26" i="7"/>
  <c r="G26" i="7"/>
  <c r="F26" i="7"/>
  <c r="E26" i="7"/>
  <c r="D26" i="7"/>
  <c r="C26" i="7"/>
  <c r="B26" i="7"/>
  <c r="B26" i="1" s="1"/>
  <c r="BI25" i="7"/>
  <c r="BH25" i="7"/>
  <c r="BG25" i="7"/>
  <c r="F25" i="1" s="1"/>
  <c r="BF25" i="7"/>
  <c r="BE25" i="7"/>
  <c r="BD25" i="7"/>
  <c r="BC25" i="7"/>
  <c r="BB25" i="7"/>
  <c r="BA25" i="7"/>
  <c r="AZ25" i="7"/>
  <c r="AY25" i="7"/>
  <c r="AX25" i="7"/>
  <c r="AW25" i="7"/>
  <c r="AV25" i="7"/>
  <c r="AU25" i="7"/>
  <c r="AT25" i="7"/>
  <c r="AS25" i="7"/>
  <c r="AR25" i="7"/>
  <c r="AQ25" i="7"/>
  <c r="AP25" i="7"/>
  <c r="AO25" i="7"/>
  <c r="AN25" i="7"/>
  <c r="AM25" i="7"/>
  <c r="AL25" i="7"/>
  <c r="E25" i="1" s="1"/>
  <c r="AK25" i="7"/>
  <c r="AJ25" i="7"/>
  <c r="AI25" i="7"/>
  <c r="AH25" i="7"/>
  <c r="AG25" i="7"/>
  <c r="AF25" i="7"/>
  <c r="AE25" i="7"/>
  <c r="AD25" i="7"/>
  <c r="AC25" i="7"/>
  <c r="AB25" i="7"/>
  <c r="AA25" i="7"/>
  <c r="D25" i="1" s="1"/>
  <c r="Z25" i="7"/>
  <c r="Y25" i="7"/>
  <c r="X25" i="7"/>
  <c r="W25" i="7"/>
  <c r="V25" i="7"/>
  <c r="U25" i="7"/>
  <c r="T25" i="7"/>
  <c r="S25" i="7"/>
  <c r="R25" i="7"/>
  <c r="Q25" i="7"/>
  <c r="P25" i="7"/>
  <c r="O25" i="7"/>
  <c r="N25" i="7"/>
  <c r="C25" i="1" s="1"/>
  <c r="M25" i="7"/>
  <c r="L25" i="7"/>
  <c r="K25" i="7"/>
  <c r="J25" i="7"/>
  <c r="I25" i="7"/>
  <c r="H25" i="7"/>
  <c r="G25" i="7"/>
  <c r="F25" i="7"/>
  <c r="E25" i="7"/>
  <c r="D25" i="7"/>
  <c r="C25" i="7"/>
  <c r="B25" i="7"/>
  <c r="BI24" i="7"/>
  <c r="BH24" i="7"/>
  <c r="BG24" i="7"/>
  <c r="BF24" i="7"/>
  <c r="BE24" i="7"/>
  <c r="BD24" i="7"/>
  <c r="BC24" i="7"/>
  <c r="BB24" i="7"/>
  <c r="BA24" i="7"/>
  <c r="AZ24" i="7"/>
  <c r="AY24" i="7"/>
  <c r="AX24" i="7"/>
  <c r="AW24" i="7"/>
  <c r="AV24" i="7"/>
  <c r="AU24" i="7"/>
  <c r="AT24" i="7"/>
  <c r="AS24" i="7"/>
  <c r="AR24" i="7"/>
  <c r="AQ24" i="7"/>
  <c r="AP24" i="7"/>
  <c r="AO24" i="7"/>
  <c r="AN24" i="7"/>
  <c r="AM24" i="7"/>
  <c r="AL24" i="7"/>
  <c r="E24" i="1" s="1"/>
  <c r="AK24" i="7"/>
  <c r="AJ24" i="7"/>
  <c r="AI24" i="7"/>
  <c r="AH24" i="7"/>
  <c r="AG24" i="7"/>
  <c r="AF24" i="7"/>
  <c r="AE24" i="7"/>
  <c r="AD24" i="7"/>
  <c r="AC24" i="7"/>
  <c r="AB24" i="7"/>
  <c r="D24" i="1" s="1"/>
  <c r="AA24" i="7"/>
  <c r="Z24" i="7"/>
  <c r="Y24" i="7"/>
  <c r="X24" i="7"/>
  <c r="W24" i="7"/>
  <c r="V24" i="7"/>
  <c r="U24" i="7"/>
  <c r="T24" i="7"/>
  <c r="S24" i="7"/>
  <c r="R24" i="7"/>
  <c r="Q24" i="7"/>
  <c r="P24" i="7"/>
  <c r="O24" i="7"/>
  <c r="N24" i="7"/>
  <c r="M24" i="7"/>
  <c r="L24" i="7"/>
  <c r="K24" i="7"/>
  <c r="B24" i="1" s="1"/>
  <c r="BI23" i="7"/>
  <c r="BH23" i="7"/>
  <c r="BG23" i="7"/>
  <c r="BF23" i="7"/>
  <c r="BE23" i="7"/>
  <c r="BD23" i="7"/>
  <c r="BC23" i="7"/>
  <c r="BB23" i="7"/>
  <c r="BA23" i="7"/>
  <c r="AZ23" i="7"/>
  <c r="AY23" i="7"/>
  <c r="F23" i="1" s="1"/>
  <c r="AX23" i="7"/>
  <c r="AW23" i="7"/>
  <c r="AV23" i="7"/>
  <c r="AU23" i="7"/>
  <c r="AT23" i="7"/>
  <c r="AS23" i="7"/>
  <c r="AR23" i="7"/>
  <c r="AQ23" i="7"/>
  <c r="AP23" i="7"/>
  <c r="AO23" i="7"/>
  <c r="AN23" i="7"/>
  <c r="AM23" i="7"/>
  <c r="AL23" i="7"/>
  <c r="AK23" i="7"/>
  <c r="AJ23" i="7"/>
  <c r="AI23" i="7"/>
  <c r="AH23" i="7"/>
  <c r="AG23" i="7"/>
  <c r="AF23" i="7"/>
  <c r="AE23" i="7"/>
  <c r="AD23" i="7"/>
  <c r="AC23" i="7"/>
  <c r="AB23" i="7"/>
  <c r="AA23" i="7"/>
  <c r="Z23" i="7"/>
  <c r="D23" i="1" s="1"/>
  <c r="Y23" i="7"/>
  <c r="X23" i="7"/>
  <c r="W23" i="7"/>
  <c r="V23" i="7"/>
  <c r="U23" i="7"/>
  <c r="T23" i="7"/>
  <c r="S23" i="7"/>
  <c r="C23" i="1" s="1"/>
  <c r="R23" i="7"/>
  <c r="Q23" i="7"/>
  <c r="P23" i="7"/>
  <c r="O23" i="7"/>
  <c r="N23" i="7"/>
  <c r="M23" i="7"/>
  <c r="L23" i="7"/>
  <c r="K23" i="7"/>
  <c r="J23" i="7"/>
  <c r="I23" i="7"/>
  <c r="H23" i="7"/>
  <c r="G23" i="7"/>
  <c r="F23" i="7"/>
  <c r="E23" i="7"/>
  <c r="D23" i="7"/>
  <c r="C23" i="7"/>
  <c r="B23" i="7"/>
  <c r="B23" i="1" s="1"/>
  <c r="H23" i="6"/>
  <c r="H8" i="6"/>
  <c r="G8" i="6"/>
  <c r="G21" i="6" s="1"/>
  <c r="F8" i="6"/>
  <c r="E8" i="6"/>
  <c r="B8" i="6"/>
  <c r="AJ18" i="5"/>
  <c r="AJ9" i="6" s="1"/>
  <c r="E15" i="5"/>
  <c r="E25" i="6" s="1"/>
  <c r="AK13" i="5"/>
  <c r="AJ13" i="5"/>
  <c r="AJ14" i="5" s="1"/>
  <c r="AJ15" i="5" s="1"/>
  <c r="AJ25" i="6" s="1"/>
  <c r="AI13" i="5"/>
  <c r="AE13" i="5"/>
  <c r="AD13" i="5"/>
  <c r="AC13" i="5"/>
  <c r="Z13" i="5"/>
  <c r="N13" i="5"/>
  <c r="M13" i="5"/>
  <c r="K13" i="5"/>
  <c r="I13" i="5"/>
  <c r="G13" i="5"/>
  <c r="E13" i="5"/>
  <c r="D13" i="5"/>
  <c r="D14" i="5" s="1"/>
  <c r="D15" i="5" s="1"/>
  <c r="D25" i="6" s="1"/>
  <c r="C13" i="5"/>
  <c r="AK12" i="5"/>
  <c r="AJ12" i="5"/>
  <c r="AI12" i="5"/>
  <c r="AI14" i="5" s="1"/>
  <c r="AF12" i="5"/>
  <c r="AE12" i="5"/>
  <c r="AD12" i="5"/>
  <c r="AD14" i="5" s="1"/>
  <c r="AB12" i="5"/>
  <c r="AA12" i="5"/>
  <c r="Z12" i="5"/>
  <c r="Z14" i="5" s="1"/>
  <c r="W12" i="5"/>
  <c r="T12" i="5"/>
  <c r="J12" i="5"/>
  <c r="I12" i="5"/>
  <c r="I14" i="5" s="1"/>
  <c r="G12" i="5"/>
  <c r="E12" i="5"/>
  <c r="E14" i="5" s="1"/>
  <c r="E18" i="5" s="1"/>
  <c r="E9" i="6" s="1"/>
  <c r="D12" i="5"/>
  <c r="C12" i="5"/>
  <c r="C14" i="5" s="1"/>
  <c r="BH9" i="5"/>
  <c r="BH12" i="5" s="1"/>
  <c r="BF9" i="5"/>
  <c r="BA9" i="5"/>
  <c r="AY9" i="5"/>
  <c r="AV9" i="5"/>
  <c r="AV12" i="5" s="1"/>
  <c r="AL9" i="5"/>
  <c r="AK9" i="5"/>
  <c r="AJ9" i="5"/>
  <c r="AI9" i="5"/>
  <c r="AG9" i="5"/>
  <c r="AB9" i="5"/>
  <c r="Z9" i="5"/>
  <c r="W9" i="5"/>
  <c r="U9" i="5"/>
  <c r="S9" i="5"/>
  <c r="P9" i="5"/>
  <c r="F9" i="5"/>
  <c r="E9" i="5"/>
  <c r="D9" i="5"/>
  <c r="C9" i="5"/>
  <c r="BI8" i="5"/>
  <c r="BH8" i="5"/>
  <c r="BH29" i="7" s="1"/>
  <c r="BG8" i="5"/>
  <c r="BF8" i="5"/>
  <c r="BE8" i="5"/>
  <c r="BD8" i="5"/>
  <c r="BC8" i="5"/>
  <c r="BB8" i="5"/>
  <c r="BA8" i="5"/>
  <c r="BA29" i="7" s="1"/>
  <c r="AZ8" i="5"/>
  <c r="AZ29" i="7" s="1"/>
  <c r="AY8" i="5"/>
  <c r="AX8" i="5"/>
  <c r="AX29" i="7" s="1"/>
  <c r="AW8" i="5"/>
  <c r="AV8" i="5"/>
  <c r="AV29" i="7" s="1"/>
  <c r="AU8" i="5"/>
  <c r="AT8" i="5"/>
  <c r="AS8" i="5"/>
  <c r="AS29" i="7" s="1"/>
  <c r="AR8" i="5"/>
  <c r="AQ8" i="5"/>
  <c r="AQ29" i="7" s="1"/>
  <c r="AP8" i="5"/>
  <c r="AP29" i="7" s="1"/>
  <c r="AO8" i="5"/>
  <c r="AO29" i="7" s="1"/>
  <c r="AN8" i="5"/>
  <c r="AN9" i="5" s="1"/>
  <c r="AM8" i="5"/>
  <c r="AM29" i="7" s="1"/>
  <c r="AL8" i="5"/>
  <c r="AL29" i="7" s="1"/>
  <c r="AK8" i="5"/>
  <c r="AK29" i="7" s="1"/>
  <c r="AJ8" i="5"/>
  <c r="AJ29" i="7" s="1"/>
  <c r="AI8" i="5"/>
  <c r="AI29" i="7" s="1"/>
  <c r="AH8" i="5"/>
  <c r="AG8" i="5"/>
  <c r="AF8" i="5"/>
  <c r="AF29" i="7" s="1"/>
  <c r="AE8" i="5"/>
  <c r="AD8" i="5"/>
  <c r="AD9" i="5" s="1"/>
  <c r="AC8" i="5"/>
  <c r="AB8" i="5"/>
  <c r="AB29" i="7" s="1"/>
  <c r="AA8" i="5"/>
  <c r="Z8" i="5"/>
  <c r="Z29" i="7" s="1"/>
  <c r="Y8" i="5"/>
  <c r="X8" i="5"/>
  <c r="W8" i="5"/>
  <c r="V8" i="5"/>
  <c r="U8" i="5"/>
  <c r="T8" i="5"/>
  <c r="T9" i="5" s="1"/>
  <c r="S8" i="5"/>
  <c r="R8" i="5"/>
  <c r="Q8" i="5"/>
  <c r="P8" i="5"/>
  <c r="P29" i="7" s="1"/>
  <c r="O8" i="5"/>
  <c r="N8" i="5"/>
  <c r="N12" i="5" s="1"/>
  <c r="M8" i="5"/>
  <c r="L8" i="5"/>
  <c r="K8" i="5"/>
  <c r="K29" i="7" s="1"/>
  <c r="J8" i="5"/>
  <c r="J29" i="7" s="1"/>
  <c r="I8" i="5"/>
  <c r="I29" i="7" s="1"/>
  <c r="H8" i="5"/>
  <c r="H29" i="7" s="1"/>
  <c r="G8" i="5"/>
  <c r="G29" i="7" s="1"/>
  <c r="F8" i="5"/>
  <c r="F29" i="7" s="1"/>
  <c r="E8" i="5"/>
  <c r="E29" i="7" s="1"/>
  <c r="D8" i="5"/>
  <c r="D29" i="7" s="1"/>
  <c r="C8" i="5"/>
  <c r="C29" i="7" s="1"/>
  <c r="B8" i="5"/>
  <c r="H36" i="4"/>
  <c r="H22" i="6" s="1"/>
  <c r="F36" i="4"/>
  <c r="F22" i="6" s="1"/>
  <c r="E36" i="4"/>
  <c r="E22" i="6" s="1"/>
  <c r="I35" i="4"/>
  <c r="I8" i="6" s="1"/>
  <c r="H35" i="4"/>
  <c r="G35" i="4"/>
  <c r="F35" i="4"/>
  <c r="E35" i="4"/>
  <c r="D35" i="4"/>
  <c r="D8" i="6" s="1"/>
  <c r="C35" i="4"/>
  <c r="C8" i="6" s="1"/>
  <c r="B35" i="4"/>
  <c r="E32" i="4"/>
  <c r="H29" i="4"/>
  <c r="H32" i="4" s="1"/>
  <c r="G29" i="4"/>
  <c r="G32" i="4" s="1"/>
  <c r="F29" i="4"/>
  <c r="F32" i="4" s="1"/>
  <c r="I28" i="4"/>
  <c r="H28" i="4"/>
  <c r="G28" i="4"/>
  <c r="G36" i="4" s="1"/>
  <c r="G22" i="6" s="1"/>
  <c r="F28" i="4"/>
  <c r="E28" i="4"/>
  <c r="E29" i="4" s="1"/>
  <c r="D28" i="4"/>
  <c r="C28" i="4"/>
  <c r="C36" i="4" s="1"/>
  <c r="C22" i="6" s="1"/>
  <c r="B28" i="4"/>
  <c r="B36" i="4" s="1"/>
  <c r="B22" i="6" s="1"/>
  <c r="BI26" i="4"/>
  <c r="BH26" i="4"/>
  <c r="BG26" i="4"/>
  <c r="BF26" i="4"/>
  <c r="BE26" i="4"/>
  <c r="BD26" i="4"/>
  <c r="BC26" i="4"/>
  <c r="BB26" i="4"/>
  <c r="BA26" i="4"/>
  <c r="AZ26" i="4"/>
  <c r="AY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J26" i="4"/>
  <c r="BI25" i="4"/>
  <c r="BH25" i="4"/>
  <c r="BG25" i="4"/>
  <c r="BF25" i="4"/>
  <c r="BE25" i="4"/>
  <c r="BD25" i="4"/>
  <c r="BC25" i="4"/>
  <c r="BB25" i="4"/>
  <c r="BA25" i="4"/>
  <c r="AZ25" i="4"/>
  <c r="AY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J25" i="4"/>
  <c r="BI24" i="4"/>
  <c r="BH24" i="4"/>
  <c r="BG24" i="4"/>
  <c r="BF24" i="4"/>
  <c r="BE24" i="4"/>
  <c r="BD24" i="4"/>
  <c r="BC24" i="4"/>
  <c r="BB24" i="4"/>
  <c r="BA24" i="4"/>
  <c r="AZ24" i="4"/>
  <c r="AY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J24" i="4"/>
  <c r="BI23" i="4"/>
  <c r="BH23" i="4"/>
  <c r="BG23" i="4"/>
  <c r="BF23" i="4"/>
  <c r="BE23" i="4"/>
  <c r="BD23" i="4"/>
  <c r="BC23" i="4"/>
  <c r="BB23" i="4"/>
  <c r="BA23" i="4"/>
  <c r="AZ23" i="4"/>
  <c r="AY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J23" i="4"/>
  <c r="BI22" i="4"/>
  <c r="BH22" i="4"/>
  <c r="BG22" i="4"/>
  <c r="BF22" i="4"/>
  <c r="BE22" i="4"/>
  <c r="BD22" i="4"/>
  <c r="BC22" i="4"/>
  <c r="BB22" i="4"/>
  <c r="BA22" i="4"/>
  <c r="AZ22" i="4"/>
  <c r="AY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J22" i="4"/>
  <c r="BI21" i="4"/>
  <c r="BH21" i="4"/>
  <c r="BG21" i="4"/>
  <c r="BF21" i="4"/>
  <c r="BE21" i="4"/>
  <c r="BD21" i="4"/>
  <c r="BC21" i="4"/>
  <c r="BB21" i="4"/>
  <c r="BA21" i="4"/>
  <c r="AZ21" i="4"/>
  <c r="AY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J21" i="4"/>
  <c r="BI20" i="4"/>
  <c r="BH20" i="4"/>
  <c r="BG20" i="4"/>
  <c r="BF20" i="4"/>
  <c r="BE20" i="4"/>
  <c r="BD20" i="4"/>
  <c r="BC20" i="4"/>
  <c r="BB20" i="4"/>
  <c r="BA20" i="4"/>
  <c r="AZ20" i="4"/>
  <c r="AY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J20" i="4"/>
  <c r="BI19" i="4"/>
  <c r="BH19" i="4"/>
  <c r="BG19" i="4"/>
  <c r="BF19" i="4"/>
  <c r="BE19" i="4"/>
  <c r="BD19" i="4"/>
  <c r="BC19" i="4"/>
  <c r="BB19" i="4"/>
  <c r="BA19" i="4"/>
  <c r="AZ19" i="4"/>
  <c r="AY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J19" i="4"/>
  <c r="BI18" i="4"/>
  <c r="BH18" i="4"/>
  <c r="BG18" i="4"/>
  <c r="BF18" i="4"/>
  <c r="BE18" i="4"/>
  <c r="BD18" i="4"/>
  <c r="BC18" i="4"/>
  <c r="BB18" i="4"/>
  <c r="BA18" i="4"/>
  <c r="AZ18" i="4"/>
  <c r="AY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J18" i="4"/>
  <c r="BI17" i="4"/>
  <c r="BH17" i="4"/>
  <c r="BG17" i="4"/>
  <c r="BF17" i="4"/>
  <c r="BE17" i="4"/>
  <c r="BD17" i="4"/>
  <c r="BC17" i="4"/>
  <c r="BB17" i="4"/>
  <c r="BA17" i="4"/>
  <c r="AZ17" i="4"/>
  <c r="AY17" i="4"/>
  <c r="AX17" i="4"/>
  <c r="AW17" i="4"/>
  <c r="AV17" i="4"/>
  <c r="AU17" i="4"/>
  <c r="AT17" i="4"/>
  <c r="AS17" i="4"/>
  <c r="AR17" i="4"/>
  <c r="AQ17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T17" i="4"/>
  <c r="S17" i="4"/>
  <c r="R17" i="4"/>
  <c r="Q17" i="4"/>
  <c r="P17" i="4"/>
  <c r="O17" i="4"/>
  <c r="N17" i="4"/>
  <c r="M17" i="4"/>
  <c r="L17" i="4"/>
  <c r="K17" i="4"/>
  <c r="J17" i="4"/>
  <c r="BI16" i="4"/>
  <c r="BH16" i="4"/>
  <c r="BG16" i="4"/>
  <c r="BF16" i="4"/>
  <c r="BE16" i="4"/>
  <c r="BD16" i="4"/>
  <c r="BC16" i="4"/>
  <c r="BB16" i="4"/>
  <c r="BA16" i="4"/>
  <c r="AZ16" i="4"/>
  <c r="AY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BI15" i="4"/>
  <c r="BH15" i="4"/>
  <c r="BG15" i="4"/>
  <c r="BF15" i="4"/>
  <c r="BE15" i="4"/>
  <c r="BD15" i="4"/>
  <c r="BC15" i="4"/>
  <c r="BB15" i="4"/>
  <c r="BA15" i="4"/>
  <c r="AZ15" i="4"/>
  <c r="AY15" i="4"/>
  <c r="AX15" i="4"/>
  <c r="AW15" i="4"/>
  <c r="AV15" i="4"/>
  <c r="AU15" i="4"/>
  <c r="AT15" i="4"/>
  <c r="AS15" i="4"/>
  <c r="AR15" i="4"/>
  <c r="AQ15" i="4"/>
  <c r="AP15" i="4"/>
  <c r="AO15" i="4"/>
  <c r="AN15" i="4"/>
  <c r="AM15" i="4"/>
  <c r="AL15" i="4"/>
  <c r="AK15" i="4"/>
  <c r="AJ15" i="4"/>
  <c r="AI15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J15" i="4"/>
  <c r="BI14" i="4"/>
  <c r="BH14" i="4"/>
  <c r="BG14" i="4"/>
  <c r="BF14" i="4"/>
  <c r="BE14" i="4"/>
  <c r="BD14" i="4"/>
  <c r="BC14" i="4"/>
  <c r="BB14" i="4"/>
  <c r="BA14" i="4"/>
  <c r="AZ14" i="4"/>
  <c r="AY14" i="4"/>
  <c r="AX14" i="4"/>
  <c r="AW14" i="4"/>
  <c r="AV14" i="4"/>
  <c r="AU14" i="4"/>
  <c r="AT14" i="4"/>
  <c r="AS14" i="4"/>
  <c r="AR14" i="4"/>
  <c r="AQ14" i="4"/>
  <c r="AP14" i="4"/>
  <c r="AO14" i="4"/>
  <c r="AN14" i="4"/>
  <c r="AM14" i="4"/>
  <c r="AL14" i="4"/>
  <c r="AK14" i="4"/>
  <c r="AJ14" i="4"/>
  <c r="AI14" i="4"/>
  <c r="AH14" i="4"/>
  <c r="AG14" i="4"/>
  <c r="AF14" i="4"/>
  <c r="AE14" i="4"/>
  <c r="AD14" i="4"/>
  <c r="AC14" i="4"/>
  <c r="AB14" i="4"/>
  <c r="AA14" i="4"/>
  <c r="Z14" i="4"/>
  <c r="Y14" i="4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J14" i="4"/>
  <c r="BI13" i="4"/>
  <c r="BH13" i="4"/>
  <c r="BG13" i="4"/>
  <c r="BF13" i="4"/>
  <c r="BE13" i="4"/>
  <c r="BE28" i="4" s="1"/>
  <c r="BD13" i="4"/>
  <c r="BC13" i="4"/>
  <c r="BC28" i="4" s="1"/>
  <c r="BB13" i="4"/>
  <c r="BA13" i="4"/>
  <c r="AZ13" i="4"/>
  <c r="AY13" i="4"/>
  <c r="AX13" i="4"/>
  <c r="AW13" i="4"/>
  <c r="AV13" i="4"/>
  <c r="AU13" i="4"/>
  <c r="AT13" i="4"/>
  <c r="AS13" i="4"/>
  <c r="AR13" i="4"/>
  <c r="AQ13" i="4"/>
  <c r="AP13" i="4"/>
  <c r="AO13" i="4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Z13" i="4"/>
  <c r="Y13" i="4"/>
  <c r="X13" i="4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J13" i="4"/>
  <c r="BI12" i="4"/>
  <c r="BH12" i="4"/>
  <c r="BG12" i="4"/>
  <c r="BF12" i="4"/>
  <c r="BE12" i="4"/>
  <c r="BD12" i="4"/>
  <c r="BC12" i="4"/>
  <c r="BB12" i="4"/>
  <c r="BA12" i="4"/>
  <c r="AZ12" i="4"/>
  <c r="AY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J12" i="4"/>
  <c r="BI11" i="4"/>
  <c r="BH11" i="4"/>
  <c r="BG11" i="4"/>
  <c r="BF11" i="4"/>
  <c r="BE11" i="4"/>
  <c r="BD11" i="4"/>
  <c r="BC11" i="4"/>
  <c r="BB11" i="4"/>
  <c r="BA11" i="4"/>
  <c r="AZ11" i="4"/>
  <c r="AY11" i="4"/>
  <c r="AX11" i="4"/>
  <c r="AW11" i="4"/>
  <c r="AV11" i="4"/>
  <c r="AU11" i="4"/>
  <c r="AT11" i="4"/>
  <c r="AT28" i="4" s="1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G28" i="4" s="1"/>
  <c r="AF11" i="4"/>
  <c r="AE11" i="4"/>
  <c r="AD11" i="4"/>
  <c r="AC11" i="4"/>
  <c r="AB11" i="4"/>
  <c r="AA11" i="4"/>
  <c r="Z11" i="4"/>
  <c r="Y11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J11" i="4"/>
  <c r="BI10" i="4"/>
  <c r="BH10" i="4"/>
  <c r="BG10" i="4"/>
  <c r="BF10" i="4"/>
  <c r="BE10" i="4"/>
  <c r="BD10" i="4"/>
  <c r="BC10" i="4"/>
  <c r="BB10" i="4"/>
  <c r="BA10" i="4"/>
  <c r="AZ10" i="4"/>
  <c r="AY10" i="4"/>
  <c r="AX10" i="4"/>
  <c r="AW10" i="4"/>
  <c r="AV10" i="4"/>
  <c r="AU10" i="4"/>
  <c r="AT10" i="4"/>
  <c r="AS10" i="4"/>
  <c r="AR10" i="4"/>
  <c r="AQ10" i="4"/>
  <c r="AP10" i="4"/>
  <c r="AO10" i="4"/>
  <c r="AN10" i="4"/>
  <c r="AM10" i="4"/>
  <c r="AL10" i="4"/>
  <c r="AK10" i="4"/>
  <c r="AJ10" i="4"/>
  <c r="AI10" i="4"/>
  <c r="AH10" i="4"/>
  <c r="AH28" i="4" s="1"/>
  <c r="AG10" i="4"/>
  <c r="AF10" i="4"/>
  <c r="AE10" i="4"/>
  <c r="AD10" i="4"/>
  <c r="AC10" i="4"/>
  <c r="AB10" i="4"/>
  <c r="AA10" i="4"/>
  <c r="Z10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J10" i="4"/>
  <c r="BI9" i="4"/>
  <c r="BH9" i="4"/>
  <c r="BG9" i="4"/>
  <c r="BF9" i="4"/>
  <c r="BE9" i="4"/>
  <c r="BD9" i="4"/>
  <c r="BC9" i="4"/>
  <c r="BB9" i="4"/>
  <c r="BA9" i="4"/>
  <c r="AZ9" i="4"/>
  <c r="AY9" i="4"/>
  <c r="AX9" i="4"/>
  <c r="AX28" i="4" s="1"/>
  <c r="AW9" i="4"/>
  <c r="AV9" i="4"/>
  <c r="AU9" i="4"/>
  <c r="AT9" i="4"/>
  <c r="AS9" i="4"/>
  <c r="AR9" i="4"/>
  <c r="AQ9" i="4"/>
  <c r="AP9" i="4"/>
  <c r="AO9" i="4"/>
  <c r="AN9" i="4"/>
  <c r="AM9" i="4"/>
  <c r="AL9" i="4"/>
  <c r="AK9" i="4"/>
  <c r="AJ9" i="4"/>
  <c r="AI9" i="4"/>
  <c r="AH9" i="4"/>
  <c r="AG9" i="4"/>
  <c r="AF9" i="4"/>
  <c r="AE9" i="4"/>
  <c r="AD9" i="4"/>
  <c r="AC9" i="4"/>
  <c r="AB9" i="4"/>
  <c r="AA9" i="4"/>
  <c r="Z9" i="4"/>
  <c r="Y9" i="4"/>
  <c r="X9" i="4"/>
  <c r="W9" i="4"/>
  <c r="V9" i="4"/>
  <c r="U9" i="4"/>
  <c r="U28" i="4" s="1"/>
  <c r="T9" i="4"/>
  <c r="S9" i="4"/>
  <c r="R9" i="4"/>
  <c r="Q9" i="4"/>
  <c r="P9" i="4"/>
  <c r="O9" i="4"/>
  <c r="N9" i="4"/>
  <c r="M9" i="4"/>
  <c r="L9" i="4"/>
  <c r="K9" i="4"/>
  <c r="J9" i="4"/>
  <c r="BI8" i="4"/>
  <c r="BH8" i="4"/>
  <c r="BG8" i="4"/>
  <c r="BF8" i="4"/>
  <c r="BE8" i="4"/>
  <c r="BD8" i="4"/>
  <c r="BD28" i="4" s="1"/>
  <c r="BC8" i="4"/>
  <c r="BB8" i="4"/>
  <c r="BA8" i="4"/>
  <c r="AZ8" i="4"/>
  <c r="AY8" i="4"/>
  <c r="AX8" i="4"/>
  <c r="AW8" i="4"/>
  <c r="AV8" i="4"/>
  <c r="AU8" i="4"/>
  <c r="AT8" i="4"/>
  <c r="AS8" i="4"/>
  <c r="AR8" i="4"/>
  <c r="AQ8" i="4"/>
  <c r="AP8" i="4"/>
  <c r="AO8" i="4"/>
  <c r="AN8" i="4"/>
  <c r="AM8" i="4"/>
  <c r="AL8" i="4"/>
  <c r="AK8" i="4"/>
  <c r="AJ8" i="4"/>
  <c r="AI8" i="4"/>
  <c r="AH8" i="4"/>
  <c r="AG8" i="4"/>
  <c r="AF8" i="4"/>
  <c r="AE8" i="4"/>
  <c r="AD8" i="4"/>
  <c r="AC8" i="4"/>
  <c r="AB8" i="4"/>
  <c r="AA8" i="4"/>
  <c r="Z8" i="4"/>
  <c r="Y8" i="4"/>
  <c r="X8" i="4"/>
  <c r="W8" i="4"/>
  <c r="V8" i="4"/>
  <c r="U8" i="4"/>
  <c r="T8" i="4"/>
  <c r="S8" i="4"/>
  <c r="R8" i="4"/>
  <c r="R28" i="4" s="1"/>
  <c r="Q8" i="4"/>
  <c r="P8" i="4"/>
  <c r="O8" i="4"/>
  <c r="N8" i="4"/>
  <c r="M8" i="4"/>
  <c r="L8" i="4"/>
  <c r="K8" i="4"/>
  <c r="J8" i="4"/>
  <c r="BI7" i="4"/>
  <c r="BH7" i="4"/>
  <c r="BG7" i="4"/>
  <c r="BG28" i="4" s="1"/>
  <c r="BF7" i="4"/>
  <c r="BF28" i="4" s="1"/>
  <c r="BE7" i="4"/>
  <c r="BD7" i="4"/>
  <c r="BC7" i="4"/>
  <c r="BB7" i="4"/>
  <c r="BA7" i="4"/>
  <c r="AZ7" i="4"/>
  <c r="AY7" i="4"/>
  <c r="AX7" i="4"/>
  <c r="AW7" i="4"/>
  <c r="AW28" i="4" s="1"/>
  <c r="AW29" i="4" s="1"/>
  <c r="AW32" i="4" s="1"/>
  <c r="AW35" i="4" s="1"/>
  <c r="AW8" i="6" s="1"/>
  <c r="AV7" i="4"/>
  <c r="AV28" i="4" s="1"/>
  <c r="AU7" i="4"/>
  <c r="AU28" i="4" s="1"/>
  <c r="AU36" i="4" s="1"/>
  <c r="AU22" i="6" s="1"/>
  <c r="AT7" i="4"/>
  <c r="AS7" i="4"/>
  <c r="AS28" i="4" s="1"/>
  <c r="AR7" i="4"/>
  <c r="AR28" i="4" s="1"/>
  <c r="AQ7" i="4"/>
  <c r="AP7" i="4"/>
  <c r="AO7" i="4"/>
  <c r="AN7" i="4"/>
  <c r="AM7" i="4"/>
  <c r="AL7" i="4"/>
  <c r="AK7" i="4"/>
  <c r="AJ7" i="4"/>
  <c r="AI7" i="4"/>
  <c r="AH7" i="4"/>
  <c r="AG7" i="4"/>
  <c r="AF7" i="4"/>
  <c r="AE7" i="4"/>
  <c r="AD7" i="4"/>
  <c r="AC7" i="4"/>
  <c r="AB7" i="4"/>
  <c r="AA7" i="4"/>
  <c r="AA28" i="4" s="1"/>
  <c r="Z7" i="4"/>
  <c r="Y7" i="4"/>
  <c r="X7" i="4"/>
  <c r="W7" i="4"/>
  <c r="V7" i="4"/>
  <c r="U7" i="4"/>
  <c r="T7" i="4"/>
  <c r="S7" i="4"/>
  <c r="R7" i="4"/>
  <c r="Q7" i="4"/>
  <c r="Q28" i="4" s="1"/>
  <c r="Q29" i="4" s="1"/>
  <c r="Q32" i="4" s="1"/>
  <c r="Q35" i="4" s="1"/>
  <c r="Q8" i="6" s="1"/>
  <c r="P7" i="4"/>
  <c r="P28" i="4" s="1"/>
  <c r="O7" i="4"/>
  <c r="N7" i="4"/>
  <c r="M7" i="4"/>
  <c r="M28" i="4" s="1"/>
  <c r="L7" i="4"/>
  <c r="L28" i="4" s="1"/>
  <c r="K7" i="4"/>
  <c r="J7" i="4"/>
  <c r="I30" i="3"/>
  <c r="I7" i="6" s="1"/>
  <c r="H30" i="3"/>
  <c r="H7" i="6" s="1"/>
  <c r="G30" i="3"/>
  <c r="G7" i="6" s="1"/>
  <c r="F30" i="3"/>
  <c r="F7" i="6" s="1"/>
  <c r="E30" i="3"/>
  <c r="E7" i="6" s="1"/>
  <c r="D30" i="3"/>
  <c r="D7" i="6" s="1"/>
  <c r="C30" i="3"/>
  <c r="C7" i="6" s="1"/>
  <c r="C18" i="6" s="1"/>
  <c r="B30" i="3"/>
  <c r="B7" i="6" s="1"/>
  <c r="B12" i="3"/>
  <c r="I8" i="3"/>
  <c r="I31" i="3" s="1"/>
  <c r="I19" i="6" s="1"/>
  <c r="H8" i="3"/>
  <c r="H31" i="3" s="1"/>
  <c r="H19" i="6" s="1"/>
  <c r="G8" i="3"/>
  <c r="G31" i="3" s="1"/>
  <c r="G19" i="6" s="1"/>
  <c r="F8" i="3"/>
  <c r="F31" i="3" s="1"/>
  <c r="F19" i="6" s="1"/>
  <c r="E8" i="3"/>
  <c r="E31" i="3" s="1"/>
  <c r="E19" i="6" s="1"/>
  <c r="D8" i="3"/>
  <c r="D31" i="3" s="1"/>
  <c r="D19" i="6" s="1"/>
  <c r="C8" i="3"/>
  <c r="C31" i="3" s="1"/>
  <c r="C19" i="6" s="1"/>
  <c r="B8" i="3"/>
  <c r="B31" i="3" s="1"/>
  <c r="B19" i="6" s="1"/>
  <c r="F30" i="1"/>
  <c r="E30" i="1"/>
  <c r="C30" i="1"/>
  <c r="B30" i="1"/>
  <c r="E23" i="1"/>
  <c r="C24" i="1" l="1"/>
  <c r="F24" i="1"/>
  <c r="G24" i="1"/>
  <c r="D11" i="3"/>
  <c r="B25" i="1"/>
  <c r="G25" i="1" s="1"/>
  <c r="G27" i="1"/>
  <c r="D28" i="1"/>
  <c r="G28" i="1"/>
  <c r="G23" i="1"/>
  <c r="C20" i="6"/>
  <c r="AA29" i="4"/>
  <c r="AA32" i="4" s="1"/>
  <c r="AA35" i="4" s="1"/>
  <c r="AA8" i="6" s="1"/>
  <c r="AA36" i="4"/>
  <c r="AA22" i="6" s="1"/>
  <c r="BG36" i="4"/>
  <c r="BG22" i="6" s="1"/>
  <c r="BG29" i="4"/>
  <c r="BG32" i="4" s="1"/>
  <c r="BG35" i="4" s="1"/>
  <c r="BG8" i="6" s="1"/>
  <c r="U29" i="4"/>
  <c r="U32" i="4" s="1"/>
  <c r="U35" i="4" s="1"/>
  <c r="U8" i="6" s="1"/>
  <c r="U36" i="4"/>
  <c r="U22" i="6" s="1"/>
  <c r="R29" i="4"/>
  <c r="R32" i="4" s="1"/>
  <c r="R35" i="4" s="1"/>
  <c r="R8" i="6" s="1"/>
  <c r="R36" i="4"/>
  <c r="R22" i="6" s="1"/>
  <c r="L29" i="4"/>
  <c r="L32" i="4" s="1"/>
  <c r="L35" i="4" s="1"/>
  <c r="L8" i="6" s="1"/>
  <c r="L36" i="4"/>
  <c r="L22" i="6" s="1"/>
  <c r="AR29" i="4"/>
  <c r="AR32" i="4" s="1"/>
  <c r="AR35" i="4" s="1"/>
  <c r="AR8" i="6" s="1"/>
  <c r="AR36" i="4"/>
  <c r="AR22" i="6" s="1"/>
  <c r="BD36" i="4"/>
  <c r="BD22" i="6" s="1"/>
  <c r="BD29" i="4"/>
  <c r="BD32" i="4" s="1"/>
  <c r="BD35" i="4" s="1"/>
  <c r="BD8" i="6" s="1"/>
  <c r="AH36" i="4"/>
  <c r="AH22" i="6" s="1"/>
  <c r="AH29" i="4"/>
  <c r="AH32" i="4" s="1"/>
  <c r="AH35" i="4" s="1"/>
  <c r="AH8" i="6" s="1"/>
  <c r="M29" i="4"/>
  <c r="M32" i="4" s="1"/>
  <c r="M35" i="4" s="1"/>
  <c r="M8" i="6" s="1"/>
  <c r="M36" i="4"/>
  <c r="M22" i="6" s="1"/>
  <c r="BC29" i="4"/>
  <c r="BC32" i="4" s="1"/>
  <c r="BC35" i="4" s="1"/>
  <c r="BC8" i="6" s="1"/>
  <c r="BC36" i="4"/>
  <c r="BC22" i="6" s="1"/>
  <c r="P36" i="4"/>
  <c r="P22" i="6" s="1"/>
  <c r="P29" i="4"/>
  <c r="P32" i="4" s="1"/>
  <c r="P35" i="4" s="1"/>
  <c r="P8" i="6" s="1"/>
  <c r="AV36" i="4"/>
  <c r="AV22" i="6" s="1"/>
  <c r="AV29" i="4"/>
  <c r="AV32" i="4" s="1"/>
  <c r="AV35" i="4" s="1"/>
  <c r="AV8" i="6" s="1"/>
  <c r="AG36" i="4"/>
  <c r="AG22" i="6" s="1"/>
  <c r="AG29" i="4"/>
  <c r="AG32" i="4" s="1"/>
  <c r="AG35" i="4" s="1"/>
  <c r="AG8" i="6" s="1"/>
  <c r="BE29" i="4"/>
  <c r="BE32" i="4" s="1"/>
  <c r="BE35" i="4" s="1"/>
  <c r="BE8" i="6" s="1"/>
  <c r="BE36" i="4"/>
  <c r="BE22" i="6" s="1"/>
  <c r="AT29" i="4"/>
  <c r="AT32" i="4" s="1"/>
  <c r="AT35" i="4" s="1"/>
  <c r="AT8" i="6" s="1"/>
  <c r="AT36" i="4"/>
  <c r="AT22" i="6" s="1"/>
  <c r="AW23" i="6"/>
  <c r="AW8" i="7"/>
  <c r="AW21" i="6"/>
  <c r="AS36" i="4"/>
  <c r="AS22" i="6" s="1"/>
  <c r="AS29" i="4"/>
  <c r="AS32" i="4" s="1"/>
  <c r="AS35" i="4" s="1"/>
  <c r="AS8" i="6" s="1"/>
  <c r="Q23" i="6"/>
  <c r="Q21" i="6"/>
  <c r="Q8" i="7"/>
  <c r="AX29" i="4"/>
  <c r="AX32" i="4" s="1"/>
  <c r="AX35" i="4" s="1"/>
  <c r="AX8" i="6" s="1"/>
  <c r="AX36" i="4"/>
  <c r="AX22" i="6" s="1"/>
  <c r="AN28" i="4"/>
  <c r="AO28" i="4"/>
  <c r="BA28" i="4"/>
  <c r="F7" i="7"/>
  <c r="F20" i="6"/>
  <c r="F18" i="6"/>
  <c r="G30" i="1"/>
  <c r="O28" i="4"/>
  <c r="B29" i="4"/>
  <c r="B32" i="4" s="1"/>
  <c r="C29" i="4"/>
  <c r="C32" i="4" s="1"/>
  <c r="C15" i="5"/>
  <c r="C25" i="6" s="1"/>
  <c r="C29" i="6" s="1"/>
  <c r="C14" i="7" s="1"/>
  <c r="C18" i="5"/>
  <c r="C9" i="6" s="1"/>
  <c r="G26" i="1"/>
  <c r="X28" i="4"/>
  <c r="E9" i="7"/>
  <c r="E26" i="6"/>
  <c r="E24" i="6"/>
  <c r="E7" i="7"/>
  <c r="E10" i="6"/>
  <c r="E20" i="6"/>
  <c r="E18" i="6"/>
  <c r="Y28" i="4"/>
  <c r="G14" i="5"/>
  <c r="V9" i="5"/>
  <c r="V12" i="5"/>
  <c r="V14" i="5" s="1"/>
  <c r="V29" i="7"/>
  <c r="V13" i="5"/>
  <c r="BB29" i="7"/>
  <c r="BB9" i="5"/>
  <c r="BB12" i="5"/>
  <c r="BB14" i="5" s="1"/>
  <c r="BB13" i="5"/>
  <c r="I15" i="5"/>
  <c r="I25" i="6" s="1"/>
  <c r="I18" i="5"/>
  <c r="I9" i="6" s="1"/>
  <c r="I10" i="6" s="1"/>
  <c r="G7" i="7"/>
  <c r="G18" i="6"/>
  <c r="G20" i="6"/>
  <c r="H7" i="7"/>
  <c r="H20" i="6"/>
  <c r="H18" i="6"/>
  <c r="AB28" i="4"/>
  <c r="BH28" i="4"/>
  <c r="D29" i="4"/>
  <c r="D32" i="4" s="1"/>
  <c r="D36" i="4"/>
  <c r="D22" i="6" s="1"/>
  <c r="D29" i="6" s="1"/>
  <c r="D14" i="7" s="1"/>
  <c r="X9" i="5"/>
  <c r="X12" i="5"/>
  <c r="X14" i="5" s="1"/>
  <c r="X29" i="7"/>
  <c r="X13" i="5"/>
  <c r="BD29" i="7"/>
  <c r="BD9" i="5"/>
  <c r="BD12" i="5" s="1"/>
  <c r="BD14" i="5" s="1"/>
  <c r="BD13" i="5"/>
  <c r="BF36" i="4"/>
  <c r="BF22" i="6" s="1"/>
  <c r="BF29" i="4"/>
  <c r="BF32" i="4" s="1"/>
  <c r="BF35" i="4" s="1"/>
  <c r="BF8" i="6" s="1"/>
  <c r="E29" i="6"/>
  <c r="E14" i="7" s="1"/>
  <c r="I7" i="7"/>
  <c r="I20" i="6"/>
  <c r="I18" i="6"/>
  <c r="AC28" i="4"/>
  <c r="BI28" i="4"/>
  <c r="Q36" i="4"/>
  <c r="Q22" i="6" s="1"/>
  <c r="Y9" i="5"/>
  <c r="Y29" i="7"/>
  <c r="Y13" i="5"/>
  <c r="Y12" i="5"/>
  <c r="BE29" i="7"/>
  <c r="BE9" i="5"/>
  <c r="BE13" i="5"/>
  <c r="BE12" i="5"/>
  <c r="BE14" i="5" s="1"/>
  <c r="W14" i="5"/>
  <c r="AE28" i="4"/>
  <c r="K28" i="4"/>
  <c r="AQ28" i="4"/>
  <c r="W28" i="4"/>
  <c r="AW36" i="4"/>
  <c r="AW22" i="6" s="1"/>
  <c r="I29" i="6"/>
  <c r="I14" i="7" s="1"/>
  <c r="I29" i="4"/>
  <c r="I32" i="4" s="1"/>
  <c r="I36" i="4"/>
  <c r="I22" i="6" s="1"/>
  <c r="AC12" i="5"/>
  <c r="AC14" i="5" s="1"/>
  <c r="AC29" i="7"/>
  <c r="D29" i="1" s="1"/>
  <c r="AC9" i="5"/>
  <c r="BI29" i="7"/>
  <c r="BI12" i="5"/>
  <c r="BI14" i="5" s="1"/>
  <c r="BI13" i="5"/>
  <c r="BI9" i="5"/>
  <c r="AD18" i="5"/>
  <c r="AD9" i="6" s="1"/>
  <c r="AD15" i="5"/>
  <c r="AD25" i="6" s="1"/>
  <c r="AJ9" i="7"/>
  <c r="AJ24" i="6"/>
  <c r="AJ26" i="6"/>
  <c r="AD28" i="4"/>
  <c r="AE14" i="5"/>
  <c r="Z28" i="4"/>
  <c r="N28" i="4"/>
  <c r="AI28" i="4"/>
  <c r="AU29" i="4"/>
  <c r="AU32" i="4" s="1"/>
  <c r="AU35" i="4" s="1"/>
  <c r="AU8" i="6" s="1"/>
  <c r="AE29" i="7"/>
  <c r="AE9" i="5"/>
  <c r="AF28" i="4"/>
  <c r="AJ28" i="4"/>
  <c r="AI15" i="5"/>
  <c r="AI25" i="6" s="1"/>
  <c r="AI18" i="5"/>
  <c r="AI9" i="6" s="1"/>
  <c r="AK28" i="4"/>
  <c r="AL28" i="4"/>
  <c r="B29" i="7"/>
  <c r="B9" i="5"/>
  <c r="B12" i="5"/>
  <c r="B14" i="5" s="1"/>
  <c r="B13" i="5"/>
  <c r="AH29" i="7"/>
  <c r="AH9" i="5"/>
  <c r="AH12" i="5"/>
  <c r="AH13" i="5"/>
  <c r="AM28" i="4"/>
  <c r="I8" i="7"/>
  <c r="I21" i="6"/>
  <c r="I23" i="6"/>
  <c r="W29" i="7"/>
  <c r="W13" i="5"/>
  <c r="BC29" i="7"/>
  <c r="BC13" i="5"/>
  <c r="AA29" i="7"/>
  <c r="AA13" i="5"/>
  <c r="AA14" i="5" s="1"/>
  <c r="BG29" i="7"/>
  <c r="AG13" i="5"/>
  <c r="AG29" i="7"/>
  <c r="Z15" i="5"/>
  <c r="Z25" i="6" s="1"/>
  <c r="Z18" i="5"/>
  <c r="Z9" i="6" s="1"/>
  <c r="AF14" i="5"/>
  <c r="AA9" i="5"/>
  <c r="AG12" i="5"/>
  <c r="J28" i="4"/>
  <c r="AP28" i="4"/>
  <c r="AK14" i="5"/>
  <c r="L29" i="7"/>
  <c r="L12" i="5"/>
  <c r="L14" i="5" s="1"/>
  <c r="L13" i="5"/>
  <c r="L9" i="5"/>
  <c r="AR29" i="7"/>
  <c r="AR9" i="5"/>
  <c r="AR12" i="5" s="1"/>
  <c r="B21" i="6"/>
  <c r="B8" i="7"/>
  <c r="B23" i="6"/>
  <c r="M29" i="7"/>
  <c r="M12" i="5"/>
  <c r="M14" i="5" s="1"/>
  <c r="M9" i="5"/>
  <c r="E8" i="7"/>
  <c r="E21" i="6"/>
  <c r="E23" i="6"/>
  <c r="N14" i="5"/>
  <c r="F21" i="6"/>
  <c r="F8" i="7"/>
  <c r="F23" i="6"/>
  <c r="O29" i="7"/>
  <c r="O13" i="5"/>
  <c r="O9" i="5"/>
  <c r="O12" i="5"/>
  <c r="AU13" i="5"/>
  <c r="AU29" i="7"/>
  <c r="AU9" i="5"/>
  <c r="AU12" i="5"/>
  <c r="AL12" i="5"/>
  <c r="AL13" i="5"/>
  <c r="BC12" i="5"/>
  <c r="G8" i="7"/>
  <c r="G23" i="6"/>
  <c r="H8" i="7"/>
  <c r="H21" i="6"/>
  <c r="S28" i="4"/>
  <c r="AY28" i="4"/>
  <c r="C21" i="6"/>
  <c r="C8" i="7"/>
  <c r="C23" i="6"/>
  <c r="Q29" i="7"/>
  <c r="Q13" i="5"/>
  <c r="Q9" i="5"/>
  <c r="Q12" i="5"/>
  <c r="AW29" i="7"/>
  <c r="AW13" i="5"/>
  <c r="AW9" i="5"/>
  <c r="AW12" i="5"/>
  <c r="T28" i="4"/>
  <c r="AZ28" i="4"/>
  <c r="D21" i="6"/>
  <c r="D8" i="7"/>
  <c r="D23" i="6"/>
  <c r="R29" i="7"/>
  <c r="R13" i="5"/>
  <c r="R9" i="5"/>
  <c r="R12" i="5"/>
  <c r="S12" i="5"/>
  <c r="S14" i="5" s="1"/>
  <c r="S29" i="7"/>
  <c r="S13" i="5"/>
  <c r="AY29" i="7"/>
  <c r="AY12" i="5"/>
  <c r="AY13" i="5"/>
  <c r="BC9" i="5"/>
  <c r="C7" i="7"/>
  <c r="V28" i="4"/>
  <c r="BB28" i="4"/>
  <c r="BF12" i="5"/>
  <c r="BF14" i="5" s="1"/>
  <c r="BF13" i="5"/>
  <c r="D18" i="5"/>
  <c r="D9" i="6" s="1"/>
  <c r="B20" i="6"/>
  <c r="B18" i="6"/>
  <c r="B7" i="7"/>
  <c r="D10" i="6"/>
  <c r="D20" i="6"/>
  <c r="D18" i="6"/>
  <c r="D7" i="7"/>
  <c r="U12" i="5"/>
  <c r="U29" i="7"/>
  <c r="U13" i="5"/>
  <c r="BG9" i="5"/>
  <c r="BG12" i="5" s="1"/>
  <c r="K9" i="5"/>
  <c r="AQ9" i="5"/>
  <c r="AQ13" i="5" s="1"/>
  <c r="P12" i="5"/>
  <c r="P14" i="5" s="1"/>
  <c r="T13" i="5"/>
  <c r="T14" i="5" s="1"/>
  <c r="AZ13" i="5"/>
  <c r="T29" i="7"/>
  <c r="AS9" i="5"/>
  <c r="AS13" i="5" s="1"/>
  <c r="BA13" i="5"/>
  <c r="N9" i="5"/>
  <c r="AT9" i="5"/>
  <c r="AT13" i="5" s="1"/>
  <c r="AX12" i="5"/>
  <c r="BA12" i="5"/>
  <c r="BA14" i="5" s="1"/>
  <c r="AX9" i="5"/>
  <c r="AZ9" i="5"/>
  <c r="AZ12" i="5" s="1"/>
  <c r="AB13" i="5"/>
  <c r="AB14" i="5" s="1"/>
  <c r="BH13" i="5"/>
  <c r="BH14" i="5" s="1"/>
  <c r="AD29" i="7"/>
  <c r="AN29" i="7"/>
  <c r="AF13" i="5"/>
  <c r="AT29" i="7"/>
  <c r="F13" i="5"/>
  <c r="AF9" i="5"/>
  <c r="H13" i="5"/>
  <c r="AN13" i="5"/>
  <c r="F12" i="5"/>
  <c r="F14" i="5" s="1"/>
  <c r="J13" i="5"/>
  <c r="J14" i="5" s="1"/>
  <c r="H12" i="5"/>
  <c r="AN12" i="5"/>
  <c r="N29" i="7"/>
  <c r="G9" i="5"/>
  <c r="AM9" i="5"/>
  <c r="K12" i="5"/>
  <c r="K14" i="5" s="1"/>
  <c r="AQ12" i="5"/>
  <c r="AQ14" i="5" s="1"/>
  <c r="H9" i="5"/>
  <c r="P13" i="5"/>
  <c r="AV13" i="5"/>
  <c r="AV14" i="5" s="1"/>
  <c r="I9" i="5"/>
  <c r="AO9" i="5"/>
  <c r="J9" i="5"/>
  <c r="AP9" i="5"/>
  <c r="AP12" i="5" s="1"/>
  <c r="AX13" i="5"/>
  <c r="E11" i="3" l="1"/>
  <c r="D22" i="7"/>
  <c r="F29" i="1"/>
  <c r="BD18" i="5"/>
  <c r="BD9" i="6" s="1"/>
  <c r="BD15" i="5"/>
  <c r="BD25" i="6" s="1"/>
  <c r="J18" i="5"/>
  <c r="J9" i="6" s="1"/>
  <c r="J15" i="5"/>
  <c r="J25" i="6" s="1"/>
  <c r="BH15" i="5"/>
  <c r="BH25" i="6" s="1"/>
  <c r="BH18" i="5"/>
  <c r="BH9" i="6" s="1"/>
  <c r="AA18" i="5"/>
  <c r="AA9" i="6" s="1"/>
  <c r="AA15" i="5"/>
  <c r="AA25" i="6" s="1"/>
  <c r="AV15" i="5"/>
  <c r="AV25" i="6" s="1"/>
  <c r="AV18" i="5"/>
  <c r="AV9" i="6" s="1"/>
  <c r="T15" i="5"/>
  <c r="T25" i="6" s="1"/>
  <c r="T18" i="5"/>
  <c r="T9" i="6" s="1"/>
  <c r="AO13" i="5"/>
  <c r="AO12" i="5"/>
  <c r="AO14" i="5" s="1"/>
  <c r="S15" i="5"/>
  <c r="S25" i="6" s="1"/>
  <c r="S18" i="5"/>
  <c r="S9" i="6" s="1"/>
  <c r="J29" i="4"/>
  <c r="J32" i="4" s="1"/>
  <c r="J35" i="4" s="1"/>
  <c r="J8" i="6" s="1"/>
  <c r="J36" i="4"/>
  <c r="J22" i="6" s="1"/>
  <c r="AQ36" i="4"/>
  <c r="AQ22" i="6" s="1"/>
  <c r="AQ29" i="4"/>
  <c r="AQ32" i="4" s="1"/>
  <c r="AQ35" i="4" s="1"/>
  <c r="AQ8" i="6" s="1"/>
  <c r="X36" i="4"/>
  <c r="X22" i="6" s="1"/>
  <c r="X29" i="4"/>
  <c r="X32" i="4" s="1"/>
  <c r="X35" i="4" s="1"/>
  <c r="X8" i="6" s="1"/>
  <c r="AU14" i="5"/>
  <c r="R14" i="5"/>
  <c r="AG14" i="5"/>
  <c r="AJ29" i="4"/>
  <c r="AJ32" i="4" s="1"/>
  <c r="AJ35" i="4" s="1"/>
  <c r="AJ8" i="6" s="1"/>
  <c r="AJ36" i="4"/>
  <c r="AJ22" i="6" s="1"/>
  <c r="K29" i="4"/>
  <c r="K32" i="4" s="1"/>
  <c r="K35" i="4" s="1"/>
  <c r="K8" i="6" s="1"/>
  <c r="K36" i="4"/>
  <c r="K22" i="6" s="1"/>
  <c r="B22" i="3"/>
  <c r="BE8" i="7"/>
  <c r="BE23" i="6"/>
  <c r="BE21" i="6"/>
  <c r="AF36" i="4"/>
  <c r="AF22" i="6" s="1"/>
  <c r="AF29" i="4"/>
  <c r="AF32" i="4" s="1"/>
  <c r="AF35" i="4" s="1"/>
  <c r="AF8" i="6" s="1"/>
  <c r="AE36" i="4"/>
  <c r="AE22" i="6" s="1"/>
  <c r="AE29" i="4"/>
  <c r="AE32" i="4" s="1"/>
  <c r="AE35" i="4" s="1"/>
  <c r="AE8" i="6" s="1"/>
  <c r="BH29" i="4"/>
  <c r="BH32" i="4" s="1"/>
  <c r="BH35" i="4" s="1"/>
  <c r="BH8" i="6" s="1"/>
  <c r="BH36" i="4"/>
  <c r="BH22" i="6" s="1"/>
  <c r="AG21" i="6"/>
  <c r="AG23" i="6"/>
  <c r="AG8" i="7"/>
  <c r="AF18" i="5"/>
  <c r="AF9" i="6" s="1"/>
  <c r="AF15" i="5"/>
  <c r="AF25" i="6" s="1"/>
  <c r="AB29" i="4"/>
  <c r="AB32" i="4" s="1"/>
  <c r="AB35" i="4" s="1"/>
  <c r="AB8" i="6" s="1"/>
  <c r="AB36" i="4"/>
  <c r="AB22" i="6" s="1"/>
  <c r="O14" i="5"/>
  <c r="W15" i="5"/>
  <c r="W25" i="6" s="1"/>
  <c r="W18" i="5"/>
  <c r="W9" i="6" s="1"/>
  <c r="C24" i="6"/>
  <c r="C28" i="6" s="1"/>
  <c r="C9" i="7"/>
  <c r="C26" i="6"/>
  <c r="C30" i="6" s="1"/>
  <c r="C15" i="7" s="1"/>
  <c r="AV23" i="6"/>
  <c r="AV8" i="7"/>
  <c r="AV21" i="6"/>
  <c r="Z26" i="6"/>
  <c r="Z24" i="6"/>
  <c r="Z9" i="7"/>
  <c r="AU8" i="7"/>
  <c r="AU21" i="6"/>
  <c r="AU23" i="6"/>
  <c r="BE15" i="5"/>
  <c r="BE25" i="6" s="1"/>
  <c r="BE18" i="5"/>
  <c r="BE9" i="6" s="1"/>
  <c r="AQ15" i="5"/>
  <c r="AQ25" i="6" s="1"/>
  <c r="AQ18" i="5"/>
  <c r="AQ9" i="6" s="1"/>
  <c r="AI36" i="4"/>
  <c r="AI22" i="6" s="1"/>
  <c r="AI29" i="4"/>
  <c r="AI32" i="4" s="1"/>
  <c r="AI35" i="4" s="1"/>
  <c r="AI8" i="6" s="1"/>
  <c r="P8" i="7"/>
  <c r="P23" i="6"/>
  <c r="P21" i="6"/>
  <c r="AM12" i="5"/>
  <c r="AM13" i="5"/>
  <c r="N29" i="4"/>
  <c r="N32" i="4" s="1"/>
  <c r="N35" i="4" s="1"/>
  <c r="N8" i="6" s="1"/>
  <c r="N36" i="4"/>
  <c r="N22" i="6" s="1"/>
  <c r="Z36" i="4"/>
  <c r="Z22" i="6" s="1"/>
  <c r="Z29" i="4"/>
  <c r="Z32" i="4" s="1"/>
  <c r="Z35" i="4" s="1"/>
  <c r="Z8" i="6" s="1"/>
  <c r="O36" i="4"/>
  <c r="O22" i="6" s="1"/>
  <c r="O29" i="4"/>
  <c r="O32" i="4" s="1"/>
  <c r="O35" i="4" s="1"/>
  <c r="O8" i="6" s="1"/>
  <c r="C29" i="1"/>
  <c r="T36" i="4"/>
  <c r="T22" i="6" s="1"/>
  <c r="T29" i="4"/>
  <c r="T32" i="4" s="1"/>
  <c r="T35" i="4" s="1"/>
  <c r="T8" i="6" s="1"/>
  <c r="BG13" i="5"/>
  <c r="BG14" i="5" s="1"/>
  <c r="AE15" i="5"/>
  <c r="AE25" i="6" s="1"/>
  <c r="AE18" i="5"/>
  <c r="AE9" i="6" s="1"/>
  <c r="Y14" i="5"/>
  <c r="BC8" i="7"/>
  <c r="BC21" i="6"/>
  <c r="BC23" i="6"/>
  <c r="AZ29" i="4"/>
  <c r="AZ32" i="4" s="1"/>
  <c r="AZ35" i="4" s="1"/>
  <c r="AZ8" i="6" s="1"/>
  <c r="AZ36" i="4"/>
  <c r="AZ22" i="6" s="1"/>
  <c r="AN14" i="5"/>
  <c r="U14" i="5"/>
  <c r="AD29" i="4"/>
  <c r="AD32" i="4" s="1"/>
  <c r="AD35" i="4" s="1"/>
  <c r="AD8" i="6" s="1"/>
  <c r="AD36" i="4"/>
  <c r="AD22" i="6" s="1"/>
  <c r="H14" i="5"/>
  <c r="AW14" i="5"/>
  <c r="AT12" i="5"/>
  <c r="AT14" i="5" s="1"/>
  <c r="M8" i="7"/>
  <c r="M21" i="6"/>
  <c r="M23" i="6"/>
  <c r="P15" i="5"/>
  <c r="P25" i="6" s="1"/>
  <c r="P18" i="5"/>
  <c r="P9" i="6" s="1"/>
  <c r="K15" i="5"/>
  <c r="K25" i="6" s="1"/>
  <c r="K18" i="5"/>
  <c r="K9" i="6" s="1"/>
  <c r="AP13" i="5"/>
  <c r="N15" i="5"/>
  <c r="N25" i="6" s="1"/>
  <c r="N18" i="5"/>
  <c r="N9" i="6" s="1"/>
  <c r="AH21" i="6"/>
  <c r="AH23" i="6"/>
  <c r="AH8" i="7"/>
  <c r="I24" i="6"/>
  <c r="I9" i="7"/>
  <c r="I26" i="6"/>
  <c r="F15" i="5"/>
  <c r="F25" i="6" s="1"/>
  <c r="F29" i="6" s="1"/>
  <c r="F14" i="7" s="1"/>
  <c r="F18" i="5"/>
  <c r="F9" i="6" s="1"/>
  <c r="BI29" i="4"/>
  <c r="BI32" i="4" s="1"/>
  <c r="BI35" i="4" s="1"/>
  <c r="BI8" i="6" s="1"/>
  <c r="BI36" i="4"/>
  <c r="BI22" i="6" s="1"/>
  <c r="BA29" i="4"/>
  <c r="BA32" i="4" s="1"/>
  <c r="BA35" i="4" s="1"/>
  <c r="BA8" i="6" s="1"/>
  <c r="BA36" i="4"/>
  <c r="BA22" i="6" s="1"/>
  <c r="BD8" i="7"/>
  <c r="BD23" i="6"/>
  <c r="BD21" i="6"/>
  <c r="Q14" i="5"/>
  <c r="AD26" i="6"/>
  <c r="AD9" i="7"/>
  <c r="AD24" i="6"/>
  <c r="AC29" i="4"/>
  <c r="AC32" i="4" s="1"/>
  <c r="AC35" i="4" s="1"/>
  <c r="AC8" i="6" s="1"/>
  <c r="AC36" i="4"/>
  <c r="AC22" i="6" s="1"/>
  <c r="AO36" i="4"/>
  <c r="AO22" i="6" s="1"/>
  <c r="AO29" i="4"/>
  <c r="AO32" i="4" s="1"/>
  <c r="AO35" i="4" s="1"/>
  <c r="AO8" i="6" s="1"/>
  <c r="D34" i="6"/>
  <c r="D10" i="7"/>
  <c r="D15" i="6"/>
  <c r="D13" i="6"/>
  <c r="D14" i="6"/>
  <c r="I10" i="7"/>
  <c r="I34" i="6"/>
  <c r="I13" i="6"/>
  <c r="I14" i="6"/>
  <c r="I15" i="6"/>
  <c r="BB18" i="5"/>
  <c r="BB9" i="6" s="1"/>
  <c r="BB15" i="5"/>
  <c r="BB25" i="6" s="1"/>
  <c r="AN36" i="4"/>
  <c r="AN22" i="6" s="1"/>
  <c r="AN29" i="4"/>
  <c r="AN32" i="4" s="1"/>
  <c r="AN35" i="4" s="1"/>
  <c r="AN8" i="6" s="1"/>
  <c r="M18" i="5"/>
  <c r="M9" i="6" s="1"/>
  <c r="M15" i="5"/>
  <c r="M25" i="6" s="1"/>
  <c r="I28" i="6"/>
  <c r="AR8" i="7"/>
  <c r="AR21" i="6"/>
  <c r="AR23" i="6"/>
  <c r="AX23" i="6"/>
  <c r="AX8" i="7"/>
  <c r="AX21" i="6"/>
  <c r="D24" i="6"/>
  <c r="D28" i="6" s="1"/>
  <c r="D9" i="7"/>
  <c r="D26" i="6"/>
  <c r="D30" i="6" s="1"/>
  <c r="D15" i="7" s="1"/>
  <c r="L8" i="7"/>
  <c r="L21" i="6"/>
  <c r="L23" i="6"/>
  <c r="AM36" i="4"/>
  <c r="AM22" i="6" s="1"/>
  <c r="AM29" i="4"/>
  <c r="AM32" i="4" s="1"/>
  <c r="AM35" i="4" s="1"/>
  <c r="AM8" i="6" s="1"/>
  <c r="E29" i="1"/>
  <c r="BF8" i="7"/>
  <c r="BF23" i="6"/>
  <c r="BF21" i="6"/>
  <c r="V18" i="5"/>
  <c r="V9" i="6" s="1"/>
  <c r="V15" i="5"/>
  <c r="V25" i="6" s="1"/>
  <c r="BB36" i="4"/>
  <c r="BB22" i="6" s="1"/>
  <c r="BB29" i="4"/>
  <c r="BB32" i="4" s="1"/>
  <c r="BB35" i="4" s="1"/>
  <c r="BB8" i="6" s="1"/>
  <c r="AC18" i="5"/>
  <c r="AC9" i="6" s="1"/>
  <c r="AC15" i="5"/>
  <c r="AC25" i="6" s="1"/>
  <c r="R23" i="6"/>
  <c r="R21" i="6"/>
  <c r="R8" i="7"/>
  <c r="AY29" i="4"/>
  <c r="AY32" i="4" s="1"/>
  <c r="AY35" i="4" s="1"/>
  <c r="AY8" i="6" s="1"/>
  <c r="AY36" i="4"/>
  <c r="AY22" i="6" s="1"/>
  <c r="AH14" i="5"/>
  <c r="V36" i="4"/>
  <c r="V22" i="6" s="1"/>
  <c r="V29" i="4"/>
  <c r="V32" i="4" s="1"/>
  <c r="V35" i="4" s="1"/>
  <c r="V8" i="6" s="1"/>
  <c r="S29" i="4"/>
  <c r="S32" i="4" s="1"/>
  <c r="S35" i="4" s="1"/>
  <c r="S8" i="6" s="1"/>
  <c r="S36" i="4"/>
  <c r="S22" i="6" s="1"/>
  <c r="AR13" i="5"/>
  <c r="AR14" i="5" s="1"/>
  <c r="G18" i="5"/>
  <c r="G9" i="6" s="1"/>
  <c r="G15" i="5"/>
  <c r="G25" i="6" s="1"/>
  <c r="G29" i="6" s="1"/>
  <c r="G14" i="7" s="1"/>
  <c r="I30" i="6"/>
  <c r="I15" i="7" s="1"/>
  <c r="Y29" i="4"/>
  <c r="Y32" i="4" s="1"/>
  <c r="Y35" i="4" s="1"/>
  <c r="Y8" i="6" s="1"/>
  <c r="Y36" i="4"/>
  <c r="Y22" i="6" s="1"/>
  <c r="AS8" i="7"/>
  <c r="AS23" i="6"/>
  <c r="AS21" i="6"/>
  <c r="AB18" i="5"/>
  <c r="AB9" i="6" s="1"/>
  <c r="AB15" i="5"/>
  <c r="AB25" i="6" s="1"/>
  <c r="AZ14" i="5"/>
  <c r="C10" i="6"/>
  <c r="E28" i="6"/>
  <c r="BI18" i="5"/>
  <c r="BI9" i="6" s="1"/>
  <c r="BI15" i="5"/>
  <c r="BI25" i="6" s="1"/>
  <c r="B15" i="5"/>
  <c r="B25" i="6" s="1"/>
  <c r="B29" i="6" s="1"/>
  <c r="B14" i="7" s="1"/>
  <c r="B18" i="5"/>
  <c r="B9" i="6" s="1"/>
  <c r="C32" i="7"/>
  <c r="C12" i="3"/>
  <c r="E30" i="6"/>
  <c r="E15" i="7" s="1"/>
  <c r="U23" i="6"/>
  <c r="U8" i="7"/>
  <c r="U21" i="6"/>
  <c r="BF15" i="5"/>
  <c r="BF25" i="6" s="1"/>
  <c r="BF18" i="5"/>
  <c r="BF9" i="6" s="1"/>
  <c r="BA18" i="5"/>
  <c r="BA9" i="6" s="1"/>
  <c r="BA15" i="5"/>
  <c r="BA25" i="6" s="1"/>
  <c r="B32" i="7"/>
  <c r="E34" i="6"/>
  <c r="E14" i="6"/>
  <c r="E10" i="7"/>
  <c r="E15" i="6"/>
  <c r="E13" i="6"/>
  <c r="L18" i="5"/>
  <c r="L9" i="6" s="1"/>
  <c r="L15" i="5"/>
  <c r="L25" i="6" s="1"/>
  <c r="B29" i="1"/>
  <c r="BG8" i="7"/>
  <c r="BG23" i="6"/>
  <c r="BG21" i="6"/>
  <c r="BC14" i="5"/>
  <c r="AL36" i="4"/>
  <c r="AL22" i="6" s="1"/>
  <c r="AL29" i="4"/>
  <c r="AL32" i="4" s="1"/>
  <c r="AL35" i="4" s="1"/>
  <c r="AL8" i="6" s="1"/>
  <c r="AX14" i="5"/>
  <c r="AY14" i="5"/>
  <c r="X15" i="5"/>
  <c r="X25" i="6" s="1"/>
  <c r="X18" i="5"/>
  <c r="X9" i="6" s="1"/>
  <c r="AP14" i="5"/>
  <c r="AK18" i="5"/>
  <c r="AK9" i="6" s="1"/>
  <c r="AK15" i="5"/>
  <c r="AK25" i="6" s="1"/>
  <c r="AK36" i="4"/>
  <c r="AK22" i="6" s="1"/>
  <c r="AK29" i="4"/>
  <c r="AK32" i="4" s="1"/>
  <c r="AK35" i="4" s="1"/>
  <c r="AK8" i="6" s="1"/>
  <c r="AS12" i="5"/>
  <c r="AS14" i="5" s="1"/>
  <c r="AL14" i="5"/>
  <c r="AP29" i="4"/>
  <c r="AP32" i="4" s="1"/>
  <c r="AP35" i="4" s="1"/>
  <c r="AP8" i="6" s="1"/>
  <c r="AP36" i="4"/>
  <c r="AP22" i="6" s="1"/>
  <c r="AI9" i="7"/>
  <c r="AI24" i="6"/>
  <c r="AI26" i="6"/>
  <c r="W29" i="4"/>
  <c r="W32" i="4" s="1"/>
  <c r="W35" i="4" s="1"/>
  <c r="W8" i="6" s="1"/>
  <c r="W36" i="4"/>
  <c r="W22" i="6" s="1"/>
  <c r="AT8" i="7"/>
  <c r="AT21" i="6"/>
  <c r="AT23" i="6"/>
  <c r="AA21" i="6"/>
  <c r="AA23" i="6"/>
  <c r="AA8" i="7"/>
  <c r="F11" i="3" l="1"/>
  <c r="E22" i="7"/>
  <c r="D13" i="7"/>
  <c r="D31" i="6"/>
  <c r="D16" i="7" s="1"/>
  <c r="BG18" i="5"/>
  <c r="BG9" i="6" s="1"/>
  <c r="BG15" i="5"/>
  <c r="BG25" i="6" s="1"/>
  <c r="AR18" i="5"/>
  <c r="AR9" i="6" s="1"/>
  <c r="AR15" i="5"/>
  <c r="AR25" i="6" s="1"/>
  <c r="BI8" i="7"/>
  <c r="BI21" i="6"/>
  <c r="BI23" i="6"/>
  <c r="AZ23" i="6"/>
  <c r="AZ8" i="7"/>
  <c r="AZ21" i="6"/>
  <c r="AP8" i="7"/>
  <c r="AP21" i="6"/>
  <c r="AP23" i="6"/>
  <c r="K8" i="7"/>
  <c r="K23" i="6"/>
  <c r="K21" i="6"/>
  <c r="I13" i="7"/>
  <c r="I31" i="6"/>
  <c r="I16" i="7" s="1"/>
  <c r="I18" i="7" s="1"/>
  <c r="BF24" i="6"/>
  <c r="BF26" i="6"/>
  <c r="BF9" i="7"/>
  <c r="M9" i="7"/>
  <c r="M26" i="6"/>
  <c r="M24" i="6"/>
  <c r="AN8" i="7"/>
  <c r="AN21" i="6"/>
  <c r="AN23" i="6"/>
  <c r="AJ21" i="6"/>
  <c r="AJ8" i="7"/>
  <c r="AJ23" i="6"/>
  <c r="AG15" i="5"/>
  <c r="AG25" i="6" s="1"/>
  <c r="AG18" i="5"/>
  <c r="AG9" i="6" s="1"/>
  <c r="AH15" i="5"/>
  <c r="AH25" i="6" s="1"/>
  <c r="AH18" i="5"/>
  <c r="AH9" i="6" s="1"/>
  <c r="AS18" i="5"/>
  <c r="AS9" i="6" s="1"/>
  <c r="AS15" i="5"/>
  <c r="AS25" i="6" s="1"/>
  <c r="Y15" i="5"/>
  <c r="Y25" i="6" s="1"/>
  <c r="Y18" i="5"/>
  <c r="Y9" i="6" s="1"/>
  <c r="R15" i="5"/>
  <c r="R25" i="6" s="1"/>
  <c r="R18" i="5"/>
  <c r="R9" i="6" s="1"/>
  <c r="F9" i="7"/>
  <c r="F26" i="6"/>
  <c r="F30" i="6" s="1"/>
  <c r="F15" i="7" s="1"/>
  <c r="F24" i="6"/>
  <c r="F28" i="6" s="1"/>
  <c r="F10" i="6"/>
  <c r="AL15" i="5"/>
  <c r="AL25" i="6" s="1"/>
  <c r="AL18" i="5"/>
  <c r="AL9" i="6" s="1"/>
  <c r="AY23" i="6"/>
  <c r="AY21" i="6"/>
  <c r="AY8" i="7"/>
  <c r="AK23" i="6"/>
  <c r="AK8" i="7"/>
  <c r="AK21" i="6"/>
  <c r="BB24" i="6"/>
  <c r="BB26" i="6"/>
  <c r="BB9" i="7"/>
  <c r="AE26" i="6"/>
  <c r="AE9" i="7"/>
  <c r="AE24" i="6"/>
  <c r="AU15" i="5"/>
  <c r="AU25" i="6" s="1"/>
  <c r="AU18" i="5"/>
  <c r="AU9" i="6" s="1"/>
  <c r="AC26" i="6"/>
  <c r="AC9" i="7"/>
  <c r="AC24" i="6"/>
  <c r="X8" i="7"/>
  <c r="X21" i="6"/>
  <c r="X23" i="6"/>
  <c r="B9" i="7"/>
  <c r="B26" i="6"/>
  <c r="B30" i="6" s="1"/>
  <c r="B15" i="7" s="1"/>
  <c r="B24" i="6"/>
  <c r="B28" i="6" s="1"/>
  <c r="B10" i="6"/>
  <c r="T23" i="6"/>
  <c r="T8" i="7"/>
  <c r="T21" i="6"/>
  <c r="C31" i="6"/>
  <c r="C16" i="7" s="1"/>
  <c r="C13" i="7"/>
  <c r="AQ8" i="7"/>
  <c r="AQ21" i="6"/>
  <c r="AQ23" i="6"/>
  <c r="N9" i="7"/>
  <c r="N24" i="6"/>
  <c r="N26" i="6"/>
  <c r="W24" i="6"/>
  <c r="W26" i="6"/>
  <c r="W9" i="7"/>
  <c r="AX15" i="5"/>
  <c r="AX25" i="6" s="1"/>
  <c r="AX18" i="5"/>
  <c r="AX9" i="6" s="1"/>
  <c r="BI26" i="6"/>
  <c r="BI24" i="6"/>
  <c r="BI9" i="7"/>
  <c r="O8" i="7"/>
  <c r="O23" i="6"/>
  <c r="O21" i="6"/>
  <c r="J8" i="7"/>
  <c r="B8" i="1" s="1"/>
  <c r="J23" i="6"/>
  <c r="J21" i="6"/>
  <c r="V24" i="6"/>
  <c r="V26" i="6"/>
  <c r="V9" i="7"/>
  <c r="I8" i="8"/>
  <c r="AL23" i="6"/>
  <c r="AL8" i="7"/>
  <c r="AL21" i="6"/>
  <c r="E13" i="7"/>
  <c r="E31" i="6"/>
  <c r="E16" i="7" s="1"/>
  <c r="E18" i="7" s="1"/>
  <c r="O18" i="5"/>
  <c r="O9" i="6" s="1"/>
  <c r="O15" i="5"/>
  <c r="O25" i="6" s="1"/>
  <c r="S24" i="6"/>
  <c r="S9" i="7"/>
  <c r="S26" i="6"/>
  <c r="C34" i="6"/>
  <c r="C15" i="6"/>
  <c r="C14" i="6"/>
  <c r="C10" i="7"/>
  <c r="C13" i="6"/>
  <c r="K26" i="6"/>
  <c r="K24" i="6"/>
  <c r="K9" i="7"/>
  <c r="Z21" i="6"/>
  <c r="Z23" i="6"/>
  <c r="Z8" i="7"/>
  <c r="AB23" i="6"/>
  <c r="AB21" i="6"/>
  <c r="AB8" i="7"/>
  <c r="AO15" i="5"/>
  <c r="AO25" i="6" s="1"/>
  <c r="AO18" i="5"/>
  <c r="AO9" i="6" s="1"/>
  <c r="P9" i="7"/>
  <c r="P24" i="6"/>
  <c r="P26" i="6"/>
  <c r="AM8" i="7"/>
  <c r="AM21" i="6"/>
  <c r="AM23" i="6"/>
  <c r="AB26" i="6"/>
  <c r="AB9" i="7"/>
  <c r="AB24" i="6"/>
  <c r="AO8" i="7"/>
  <c r="AO21" i="6"/>
  <c r="AO23" i="6"/>
  <c r="N8" i="7"/>
  <c r="N23" i="6"/>
  <c r="N21" i="6"/>
  <c r="AF26" i="6"/>
  <c r="AF9" i="7"/>
  <c r="AF24" i="6"/>
  <c r="T24" i="6"/>
  <c r="T9" i="7"/>
  <c r="T26" i="6"/>
  <c r="D32" i="7"/>
  <c r="D12" i="3"/>
  <c r="AY18" i="5"/>
  <c r="AY9" i="6" s="1"/>
  <c r="AY15" i="5"/>
  <c r="AY25" i="6" s="1"/>
  <c r="AM14" i="5"/>
  <c r="AV9" i="7"/>
  <c r="AV26" i="6"/>
  <c r="AV24" i="6"/>
  <c r="BB8" i="7"/>
  <c r="BB21" i="6"/>
  <c r="BB23" i="6"/>
  <c r="AC23" i="6"/>
  <c r="AC8" i="7"/>
  <c r="AC21" i="6"/>
  <c r="L24" i="6"/>
  <c r="L9" i="7"/>
  <c r="L26" i="6"/>
  <c r="X24" i="6"/>
  <c r="X26" i="6"/>
  <c r="X9" i="7"/>
  <c r="BC18" i="5"/>
  <c r="BC9" i="6" s="1"/>
  <c r="BC15" i="5"/>
  <c r="BC25" i="6" s="1"/>
  <c r="BH8" i="7"/>
  <c r="BH23" i="6"/>
  <c r="BH21" i="6"/>
  <c r="AA26" i="6"/>
  <c r="AA9" i="7"/>
  <c r="AA24" i="6"/>
  <c r="AP18" i="5"/>
  <c r="AP9" i="6" s="1"/>
  <c r="AP15" i="5"/>
  <c r="AP25" i="6" s="1"/>
  <c r="D18" i="7"/>
  <c r="D19" i="7" s="1"/>
  <c r="D8" i="8"/>
  <c r="Y8" i="7"/>
  <c r="Y21" i="6"/>
  <c r="Y23" i="6"/>
  <c r="AW15" i="5"/>
  <c r="AW25" i="6" s="1"/>
  <c r="AW18" i="5"/>
  <c r="AW9" i="6" s="1"/>
  <c r="AI21" i="6"/>
  <c r="AI23" i="6"/>
  <c r="AI8" i="7"/>
  <c r="AE23" i="6"/>
  <c r="AE8" i="7"/>
  <c r="AE21" i="6"/>
  <c r="BH26" i="6"/>
  <c r="BH24" i="6"/>
  <c r="BH9" i="7"/>
  <c r="AK9" i="7"/>
  <c r="AK24" i="6"/>
  <c r="AK26" i="6"/>
  <c r="B23" i="3"/>
  <c r="G29" i="1"/>
  <c r="AQ9" i="7"/>
  <c r="AQ26" i="6"/>
  <c r="AQ24" i="6"/>
  <c r="AF21" i="6"/>
  <c r="AF23" i="6"/>
  <c r="AF8" i="7"/>
  <c r="AZ18" i="5"/>
  <c r="AZ9" i="6" s="1"/>
  <c r="AZ15" i="5"/>
  <c r="AZ25" i="6" s="1"/>
  <c r="E8" i="8"/>
  <c r="Q15" i="5"/>
  <c r="Q25" i="6" s="1"/>
  <c r="Q18" i="5"/>
  <c r="Q9" i="6" s="1"/>
  <c r="J24" i="6"/>
  <c r="J9" i="7"/>
  <c r="J26" i="6"/>
  <c r="AT15" i="5"/>
  <c r="AT25" i="6" s="1"/>
  <c r="AT18" i="5"/>
  <c r="AT9" i="6" s="1"/>
  <c r="AD8" i="7"/>
  <c r="AD21" i="6"/>
  <c r="AD23" i="6"/>
  <c r="BE24" i="6"/>
  <c r="BE26" i="6"/>
  <c r="BE9" i="7"/>
  <c r="G24" i="6"/>
  <c r="G28" i="6" s="1"/>
  <c r="G9" i="7"/>
  <c r="G26" i="6"/>
  <c r="G30" i="6" s="1"/>
  <c r="G15" i="7" s="1"/>
  <c r="G10" i="6"/>
  <c r="W8" i="7"/>
  <c r="W23" i="6"/>
  <c r="W21" i="6"/>
  <c r="S23" i="6"/>
  <c r="S21" i="6"/>
  <c r="S8" i="7"/>
  <c r="U18" i="5"/>
  <c r="U9" i="6" s="1"/>
  <c r="U15" i="5"/>
  <c r="U25" i="6" s="1"/>
  <c r="BD24" i="6"/>
  <c r="BD26" i="6"/>
  <c r="BD9" i="7"/>
  <c r="H15" i="5"/>
  <c r="H25" i="6" s="1"/>
  <c r="H29" i="6" s="1"/>
  <c r="H14" i="7" s="1"/>
  <c r="H18" i="5"/>
  <c r="H9" i="6" s="1"/>
  <c r="BA24" i="6"/>
  <c r="BA26" i="6"/>
  <c r="BA9" i="7"/>
  <c r="V8" i="7"/>
  <c r="V23" i="6"/>
  <c r="V21" i="6"/>
  <c r="BA23" i="6"/>
  <c r="BA8" i="7"/>
  <c r="BA21" i="6"/>
  <c r="AN15" i="5"/>
  <c r="AN25" i="6" s="1"/>
  <c r="AN18" i="5"/>
  <c r="AN9" i="6" s="1"/>
  <c r="G11" i="3" l="1"/>
  <c r="F22" i="7"/>
  <c r="F8" i="1"/>
  <c r="C23" i="3"/>
  <c r="E19" i="7"/>
  <c r="I19" i="7"/>
  <c r="G34" i="6"/>
  <c r="G14" i="6"/>
  <c r="G10" i="7"/>
  <c r="G15" i="6"/>
  <c r="G13" i="6"/>
  <c r="D23" i="3"/>
  <c r="E32" i="7"/>
  <c r="E12" i="3"/>
  <c r="C22" i="3"/>
  <c r="AX9" i="7"/>
  <c r="AX24" i="6"/>
  <c r="AX26" i="6"/>
  <c r="O9" i="7"/>
  <c r="O24" i="6"/>
  <c r="O26" i="6"/>
  <c r="I18" i="8"/>
  <c r="I9" i="8"/>
  <c r="U24" i="6"/>
  <c r="U9" i="7"/>
  <c r="U26" i="6"/>
  <c r="AL9" i="7"/>
  <c r="AL24" i="6"/>
  <c r="AL26" i="6"/>
  <c r="C18" i="8"/>
  <c r="C9" i="8"/>
  <c r="E8" i="1"/>
  <c r="G13" i="7"/>
  <c r="G31" i="6"/>
  <c r="G16" i="7" s="1"/>
  <c r="E18" i="8"/>
  <c r="E9" i="8"/>
  <c r="F34" i="6"/>
  <c r="F14" i="6"/>
  <c r="F10" i="7"/>
  <c r="F15" i="6"/>
  <c r="F13" i="6"/>
  <c r="AN9" i="7"/>
  <c r="AN26" i="6"/>
  <c r="AN24" i="6"/>
  <c r="F13" i="7"/>
  <c r="F31" i="6"/>
  <c r="F16" i="7" s="1"/>
  <c r="B34" i="6"/>
  <c r="B10" i="7"/>
  <c r="B14" i="6"/>
  <c r="B15" i="6"/>
  <c r="B13" i="6"/>
  <c r="D37" i="7"/>
  <c r="D34" i="7"/>
  <c r="D35" i="7" s="1"/>
  <c r="C8" i="1"/>
  <c r="B13" i="7"/>
  <c r="B31" i="6"/>
  <c r="B16" i="7" s="1"/>
  <c r="R24" i="6"/>
  <c r="R9" i="7"/>
  <c r="R26" i="6"/>
  <c r="BC24" i="6"/>
  <c r="BC26" i="6"/>
  <c r="BC9" i="7"/>
  <c r="Y24" i="6"/>
  <c r="Y26" i="6"/>
  <c r="Y9" i="7"/>
  <c r="AZ24" i="6"/>
  <c r="AZ9" i="7"/>
  <c r="AZ26" i="6"/>
  <c r="AO9" i="7"/>
  <c r="AO26" i="6"/>
  <c r="AO24" i="6"/>
  <c r="C18" i="7"/>
  <c r="C19" i="7" s="1"/>
  <c r="C8" i="8"/>
  <c r="AT9" i="7"/>
  <c r="AT24" i="6"/>
  <c r="AT26" i="6"/>
  <c r="AS9" i="7"/>
  <c r="AS26" i="6"/>
  <c r="AS24" i="6"/>
  <c r="AP9" i="7"/>
  <c r="AP26" i="6"/>
  <c r="AP24" i="6"/>
  <c r="AW9" i="7"/>
  <c r="AW26" i="6"/>
  <c r="AW24" i="6"/>
  <c r="AH9" i="7"/>
  <c r="AH24" i="6"/>
  <c r="AH26" i="6"/>
  <c r="AR26" i="6"/>
  <c r="AR9" i="7"/>
  <c r="AR24" i="6"/>
  <c r="B24" i="3"/>
  <c r="B25" i="3" s="1"/>
  <c r="B27" i="3" s="1"/>
  <c r="AM18" i="5"/>
  <c r="AM9" i="6" s="1"/>
  <c r="AM15" i="5"/>
  <c r="AM25" i="6" s="1"/>
  <c r="D8" i="1"/>
  <c r="AG26" i="6"/>
  <c r="AG9" i="7"/>
  <c r="AG24" i="6"/>
  <c r="BG24" i="6"/>
  <c r="BG9" i="7"/>
  <c r="BG26" i="6"/>
  <c r="Q24" i="6"/>
  <c r="Q9" i="7"/>
  <c r="Q26" i="6"/>
  <c r="H24" i="6"/>
  <c r="H28" i="6" s="1"/>
  <c r="H9" i="7"/>
  <c r="B9" i="1" s="1"/>
  <c r="H26" i="6"/>
  <c r="H30" i="6" s="1"/>
  <c r="H15" i="7" s="1"/>
  <c r="H10" i="6"/>
  <c r="AU9" i="7"/>
  <c r="AU24" i="6"/>
  <c r="AU26" i="6"/>
  <c r="E11" i="9"/>
  <c r="AY9" i="7"/>
  <c r="AY24" i="6"/>
  <c r="AY26" i="6"/>
  <c r="D18" i="8"/>
  <c r="D9" i="8"/>
  <c r="H11" i="3" l="1"/>
  <c r="G22" i="7"/>
  <c r="C9" i="1"/>
  <c r="D9" i="1"/>
  <c r="G8" i="1"/>
  <c r="D12" i="9"/>
  <c r="H34" i="6"/>
  <c r="H13" i="6"/>
  <c r="H14" i="6"/>
  <c r="H10" i="7"/>
  <c r="H15" i="6"/>
  <c r="B18" i="8"/>
  <c r="C13" i="9" s="1"/>
  <c r="B9" i="8"/>
  <c r="B12" i="9" s="1"/>
  <c r="B18" i="7"/>
  <c r="B19" i="7" s="1"/>
  <c r="B8" i="8"/>
  <c r="B11" i="9" s="1"/>
  <c r="D38" i="7"/>
  <c r="D19" i="8" s="1"/>
  <c r="F9" i="1"/>
  <c r="F18" i="8"/>
  <c r="F9" i="8"/>
  <c r="F12" i="9" s="1"/>
  <c r="D22" i="3"/>
  <c r="C25" i="3"/>
  <c r="C27" i="3" s="1"/>
  <c r="H13" i="7"/>
  <c r="H31" i="6"/>
  <c r="H16" i="7" s="1"/>
  <c r="F32" i="7"/>
  <c r="F12" i="3"/>
  <c r="F18" i="7"/>
  <c r="F19" i="7" s="1"/>
  <c r="F8" i="8"/>
  <c r="F11" i="9" s="1"/>
  <c r="D11" i="9"/>
  <c r="E12" i="9"/>
  <c r="G18" i="7"/>
  <c r="G19" i="7" s="1"/>
  <c r="G8" i="8"/>
  <c r="G18" i="8"/>
  <c r="G9" i="8"/>
  <c r="C37" i="7"/>
  <c r="C34" i="7"/>
  <c r="C35" i="7" s="1"/>
  <c r="E34" i="7"/>
  <c r="E35" i="7" s="1"/>
  <c r="E37" i="7"/>
  <c r="AM9" i="7"/>
  <c r="E9" i="1" s="1"/>
  <c r="G9" i="1" s="1"/>
  <c r="AM26" i="6"/>
  <c r="AM24" i="6"/>
  <c r="E13" i="9"/>
  <c r="D13" i="9"/>
  <c r="C24" i="3"/>
  <c r="I11" i="3" l="1"/>
  <c r="H22" i="7"/>
  <c r="G11" i="9"/>
  <c r="C12" i="9"/>
  <c r="G12" i="9"/>
  <c r="E22" i="3"/>
  <c r="E23" i="3"/>
  <c r="B13" i="9"/>
  <c r="F13" i="9"/>
  <c r="H18" i="7"/>
  <c r="H19" i="7" s="1"/>
  <c r="H8" i="8"/>
  <c r="C38" i="7"/>
  <c r="C19" i="8" s="1"/>
  <c r="D14" i="9" s="1"/>
  <c r="D16" i="9" s="1"/>
  <c r="G13" i="9"/>
  <c r="H18" i="8"/>
  <c r="H9" i="8"/>
  <c r="G12" i="3"/>
  <c r="F34" i="7"/>
  <c r="F35" i="7" s="1"/>
  <c r="F37" i="7"/>
  <c r="D40" i="7"/>
  <c r="C11" i="9"/>
  <c r="D24" i="3"/>
  <c r="D25" i="3" s="1"/>
  <c r="D27" i="3" s="1"/>
  <c r="E38" i="7"/>
  <c r="E19" i="8" s="1"/>
  <c r="B37" i="7"/>
  <c r="B34" i="7"/>
  <c r="D20" i="8"/>
  <c r="J22" i="7" l="1"/>
  <c r="I22" i="7"/>
  <c r="C40" i="7"/>
  <c r="E40" i="7"/>
  <c r="F23" i="3"/>
  <c r="F22" i="3"/>
  <c r="H12" i="9"/>
  <c r="I12" i="9"/>
  <c r="G23" i="3"/>
  <c r="F38" i="7"/>
  <c r="F19" i="8" s="1"/>
  <c r="H13" i="9"/>
  <c r="I13" i="9"/>
  <c r="H32" i="7"/>
  <c r="H37" i="7" s="1"/>
  <c r="H12" i="3"/>
  <c r="G32" i="7"/>
  <c r="E14" i="9"/>
  <c r="E16" i="9" s="1"/>
  <c r="E20" i="8"/>
  <c r="B38" i="7"/>
  <c r="B40" i="7" s="1"/>
  <c r="C20" i="8"/>
  <c r="H11" i="9"/>
  <c r="I11" i="9"/>
  <c r="B35" i="7"/>
  <c r="E7" i="9"/>
  <c r="E18" i="9" s="1"/>
  <c r="E28" i="9" s="1"/>
  <c r="E41" i="7"/>
  <c r="E24" i="3"/>
  <c r="E25" i="3" s="1"/>
  <c r="E27" i="3" s="1"/>
  <c r="C7" i="9"/>
  <c r="C41" i="7"/>
  <c r="D7" i="9"/>
  <c r="D18" i="9" s="1"/>
  <c r="D28" i="9" s="1"/>
  <c r="D41" i="7"/>
  <c r="G22" i="3" l="1"/>
  <c r="H38" i="7"/>
  <c r="H19" i="8" s="1"/>
  <c r="I32" i="7"/>
  <c r="I12" i="3"/>
  <c r="B19" i="8"/>
  <c r="G37" i="7"/>
  <c r="G34" i="7"/>
  <c r="F40" i="7"/>
  <c r="B7" i="9"/>
  <c r="B23" i="8"/>
  <c r="B41" i="7"/>
  <c r="F14" i="9"/>
  <c r="F16" i="9" s="1"/>
  <c r="F20" i="8"/>
  <c r="H34" i="7"/>
  <c r="H35" i="7" s="1"/>
  <c r="F24" i="3"/>
  <c r="F25" i="3" s="1"/>
  <c r="F27" i="3" s="1"/>
  <c r="H23" i="3" l="1"/>
  <c r="H22" i="3"/>
  <c r="B14" i="9"/>
  <c r="B16" i="9" s="1"/>
  <c r="B18" i="9" s="1"/>
  <c r="B28" i="9" s="1"/>
  <c r="B30" i="9" s="1"/>
  <c r="B20" i="8"/>
  <c r="C14" i="9"/>
  <c r="C16" i="9" s="1"/>
  <c r="C18" i="9" s="1"/>
  <c r="C28" i="9" s="1"/>
  <c r="H20" i="8"/>
  <c r="G24" i="3"/>
  <c r="B25" i="8"/>
  <c r="C23" i="8"/>
  <c r="G38" i="7"/>
  <c r="I34" i="7"/>
  <c r="I35" i="7" s="1"/>
  <c r="I37" i="7"/>
  <c r="H40" i="7"/>
  <c r="F7" i="9"/>
  <c r="F18" i="9" s="1"/>
  <c r="F28" i="9" s="1"/>
  <c r="F41" i="7"/>
  <c r="G35" i="7"/>
  <c r="J32" i="7"/>
  <c r="J12" i="3"/>
  <c r="G25" i="3"/>
  <c r="G27" i="3" s="1"/>
  <c r="I23" i="3" l="1"/>
  <c r="I22" i="3"/>
  <c r="C29" i="9"/>
  <c r="C30" i="9" s="1"/>
  <c r="B7" i="8"/>
  <c r="B10" i="8" s="1"/>
  <c r="B15" i="8" s="1"/>
  <c r="K22" i="7"/>
  <c r="K32" i="7" s="1"/>
  <c r="K12" i="3"/>
  <c r="C25" i="8"/>
  <c r="C27" i="8" s="1"/>
  <c r="D23" i="8"/>
  <c r="H24" i="3"/>
  <c r="I38" i="7"/>
  <c r="I19" i="8" s="1"/>
  <c r="B27" i="8"/>
  <c r="H7" i="9"/>
  <c r="H41" i="7"/>
  <c r="G19" i="8"/>
  <c r="G40" i="7"/>
  <c r="H25" i="3"/>
  <c r="H27" i="3" s="1"/>
  <c r="J23" i="3" l="1"/>
  <c r="J22" i="3"/>
  <c r="B29" i="8"/>
  <c r="G7" i="9"/>
  <c r="G41" i="7"/>
  <c r="I40" i="7"/>
  <c r="E23" i="8"/>
  <c r="D25" i="8"/>
  <c r="D27" i="8" s="1"/>
  <c r="K15" i="3"/>
  <c r="K17" i="3" s="1"/>
  <c r="D29" i="9"/>
  <c r="D30" i="9" s="1"/>
  <c r="C7" i="8"/>
  <c r="C10" i="8" s="1"/>
  <c r="C15" i="8" s="1"/>
  <c r="C29" i="8" s="1"/>
  <c r="G14" i="9"/>
  <c r="G16" i="9" s="1"/>
  <c r="G20" i="8"/>
  <c r="H14" i="9"/>
  <c r="H16" i="9" s="1"/>
  <c r="H18" i="9" s="1"/>
  <c r="H28" i="9" s="1"/>
  <c r="I14" i="9"/>
  <c r="I16" i="9" s="1"/>
  <c r="I20" i="8"/>
  <c r="L22" i="7"/>
  <c r="L32" i="7" s="1"/>
  <c r="M11" i="3"/>
  <c r="L12" i="3"/>
  <c r="I24" i="3"/>
  <c r="I25" i="3" s="1"/>
  <c r="I27" i="3" s="1"/>
  <c r="K16" i="3" l="1"/>
  <c r="K23" i="3" s="1"/>
  <c r="K22" i="3"/>
  <c r="M22" i="7"/>
  <c r="N11" i="3"/>
  <c r="M12" i="3"/>
  <c r="G18" i="9"/>
  <c r="G28" i="9" s="1"/>
  <c r="K18" i="3"/>
  <c r="J24" i="3"/>
  <c r="I7" i="9"/>
  <c r="I18" i="9" s="1"/>
  <c r="I28" i="9" s="1"/>
  <c r="I41" i="7"/>
  <c r="F23" i="8"/>
  <c r="E25" i="8"/>
  <c r="E27" i="8" s="1"/>
  <c r="L15" i="3"/>
  <c r="L17" i="3" s="1"/>
  <c r="E29" i="9"/>
  <c r="E30" i="9" s="1"/>
  <c r="D7" i="8"/>
  <c r="D10" i="8" s="1"/>
  <c r="D15" i="8" s="1"/>
  <c r="D29" i="8" s="1"/>
  <c r="J25" i="3"/>
  <c r="L16" i="3" l="1"/>
  <c r="L23" i="3" s="1"/>
  <c r="L22" i="3"/>
  <c r="J31" i="3"/>
  <c r="J19" i="6" s="1"/>
  <c r="J29" i="6" s="1"/>
  <c r="J14" i="7" s="1"/>
  <c r="J27" i="3"/>
  <c r="J7" i="6" s="1"/>
  <c r="G23" i="8"/>
  <c r="F25" i="8"/>
  <c r="F27" i="8" s="1"/>
  <c r="L18" i="3"/>
  <c r="K19" i="3"/>
  <c r="K24" i="3" s="1"/>
  <c r="M15" i="3"/>
  <c r="M17" i="3" s="1"/>
  <c r="N22" i="7"/>
  <c r="O11" i="3"/>
  <c r="N12" i="3"/>
  <c r="M32" i="7"/>
  <c r="B31" i="1" s="1"/>
  <c r="B22" i="1"/>
  <c r="E7" i="8"/>
  <c r="E10" i="8" s="1"/>
  <c r="E15" i="8" s="1"/>
  <c r="E29" i="8" s="1"/>
  <c r="F29" i="9"/>
  <c r="F30" i="9" s="1"/>
  <c r="K25" i="3"/>
  <c r="M22" i="3" l="1"/>
  <c r="J7" i="7"/>
  <c r="J20" i="6"/>
  <c r="J30" i="6" s="1"/>
  <c r="J15" i="7" s="1"/>
  <c r="J18" i="6"/>
  <c r="J28" i="6" s="1"/>
  <c r="J10" i="6"/>
  <c r="K31" i="3"/>
  <c r="K19" i="6" s="1"/>
  <c r="K29" i="6" s="1"/>
  <c r="K14" i="7" s="1"/>
  <c r="K27" i="3"/>
  <c r="K30" i="3" s="1"/>
  <c r="K7" i="6" s="1"/>
  <c r="O22" i="7"/>
  <c r="O32" i="7" s="1"/>
  <c r="P11" i="3"/>
  <c r="O12" i="3"/>
  <c r="M16" i="3"/>
  <c r="M23" i="3" s="1"/>
  <c r="F7" i="8"/>
  <c r="F10" i="8" s="1"/>
  <c r="F15" i="8" s="1"/>
  <c r="F29" i="8" s="1"/>
  <c r="G29" i="9"/>
  <c r="G30" i="9" s="1"/>
  <c r="N32" i="7"/>
  <c r="N15" i="3"/>
  <c r="N17" i="3" s="1"/>
  <c r="M18" i="3"/>
  <c r="L19" i="3"/>
  <c r="L24" i="3" s="1"/>
  <c r="L25" i="3" s="1"/>
  <c r="H23" i="8"/>
  <c r="G25" i="8"/>
  <c r="G27" i="8" s="1"/>
  <c r="N16" i="3" l="1"/>
  <c r="N23" i="3" s="1"/>
  <c r="N22" i="3"/>
  <c r="L31" i="3"/>
  <c r="L19" i="6" s="1"/>
  <c r="L29" i="6" s="1"/>
  <c r="L14" i="7" s="1"/>
  <c r="L27" i="3"/>
  <c r="L30" i="3" s="1"/>
  <c r="L7" i="6" s="1"/>
  <c r="I23" i="8"/>
  <c r="H25" i="8"/>
  <c r="H27" i="8" s="1"/>
  <c r="P22" i="7"/>
  <c r="P12" i="3"/>
  <c r="Q11" i="3"/>
  <c r="J13" i="7"/>
  <c r="J31" i="6"/>
  <c r="J16" i="7" s="1"/>
  <c r="H29" i="9"/>
  <c r="H30" i="9" s="1"/>
  <c r="G7" i="8"/>
  <c r="G10" i="8" s="1"/>
  <c r="G15" i="8" s="1"/>
  <c r="G29" i="8" s="1"/>
  <c r="O15" i="3"/>
  <c r="O16" i="3" s="1"/>
  <c r="O23" i="3" s="1"/>
  <c r="K7" i="7"/>
  <c r="K18" i="6"/>
  <c r="K28" i="6" s="1"/>
  <c r="K10" i="6"/>
  <c r="K20" i="6"/>
  <c r="K30" i="6" s="1"/>
  <c r="K15" i="7" s="1"/>
  <c r="J10" i="7"/>
  <c r="J13" i="6"/>
  <c r="J14" i="6"/>
  <c r="J15" i="6"/>
  <c r="J34" i="6"/>
  <c r="M19" i="3"/>
  <c r="M24" i="3" s="1"/>
  <c r="M25" i="3" s="1"/>
  <c r="N18" i="3"/>
  <c r="M31" i="3" l="1"/>
  <c r="M19" i="6" s="1"/>
  <c r="M29" i="6" s="1"/>
  <c r="M14" i="7" s="1"/>
  <c r="M27" i="3"/>
  <c r="M30" i="3" s="1"/>
  <c r="M7" i="6" s="1"/>
  <c r="J8" i="8"/>
  <c r="J11" i="9" s="1"/>
  <c r="J18" i="7"/>
  <c r="K10" i="7"/>
  <c r="K13" i="6"/>
  <c r="K14" i="6"/>
  <c r="K34" i="6"/>
  <c r="K15" i="6"/>
  <c r="H7" i="8"/>
  <c r="H10" i="8" s="1"/>
  <c r="H15" i="8" s="1"/>
  <c r="H29" i="8" s="1"/>
  <c r="I29" i="9"/>
  <c r="I30" i="9" s="1"/>
  <c r="Q22" i="7"/>
  <c r="Q32" i="7" s="1"/>
  <c r="Q12" i="3"/>
  <c r="R11" i="3"/>
  <c r="B14" i="1"/>
  <c r="J9" i="8"/>
  <c r="J12" i="9" s="1"/>
  <c r="J18" i="8"/>
  <c r="P15" i="3"/>
  <c r="P16" i="3" s="1"/>
  <c r="P23" i="3" s="1"/>
  <c r="L7" i="7"/>
  <c r="L10" i="6"/>
  <c r="L20" i="6"/>
  <c r="L30" i="6" s="1"/>
  <c r="L15" i="7" s="1"/>
  <c r="L18" i="6"/>
  <c r="L28" i="6" s="1"/>
  <c r="O17" i="3"/>
  <c r="N19" i="3"/>
  <c r="N24" i="3" s="1"/>
  <c r="N25" i="3" s="1"/>
  <c r="O18" i="3"/>
  <c r="K13" i="7"/>
  <c r="K31" i="6"/>
  <c r="K16" i="7" s="1"/>
  <c r="P32" i="7"/>
  <c r="I25" i="8"/>
  <c r="I27" i="8" s="1"/>
  <c r="N27" i="3" l="1"/>
  <c r="N30" i="3" s="1"/>
  <c r="N7" i="6" s="1"/>
  <c r="N31" i="3"/>
  <c r="N19" i="6" s="1"/>
  <c r="N29" i="6" s="1"/>
  <c r="N14" i="7" s="1"/>
  <c r="P17" i="3"/>
  <c r="O22" i="3"/>
  <c r="O19" i="3"/>
  <c r="O24" i="3" s="1"/>
  <c r="P18" i="3"/>
  <c r="J13" i="9"/>
  <c r="R22" i="7"/>
  <c r="R32" i="7" s="1"/>
  <c r="S11" i="3"/>
  <c r="R12" i="3"/>
  <c r="K8" i="8"/>
  <c r="K11" i="9" s="1"/>
  <c r="K18" i="7"/>
  <c r="K19" i="7" s="1"/>
  <c r="K9" i="8"/>
  <c r="K12" i="9" s="1"/>
  <c r="K18" i="8"/>
  <c r="M7" i="7"/>
  <c r="B7" i="1" s="1"/>
  <c r="M10" i="6"/>
  <c r="M20" i="6"/>
  <c r="M30" i="6" s="1"/>
  <c r="M15" i="7" s="1"/>
  <c r="B15" i="1" s="1"/>
  <c r="M18" i="6"/>
  <c r="M28" i="6" s="1"/>
  <c r="L13" i="7"/>
  <c r="L31" i="6"/>
  <c r="L16" i="7" s="1"/>
  <c r="L10" i="7"/>
  <c r="L13" i="6"/>
  <c r="L14" i="6"/>
  <c r="L34" i="6"/>
  <c r="L15" i="6"/>
  <c r="Q15" i="3"/>
  <c r="Q16" i="3" s="1"/>
  <c r="Q23" i="3" s="1"/>
  <c r="I7" i="8"/>
  <c r="I10" i="8" s="1"/>
  <c r="I15" i="8" s="1"/>
  <c r="I29" i="8" s="1"/>
  <c r="J29" i="9"/>
  <c r="J34" i="7"/>
  <c r="J37" i="7"/>
  <c r="J19" i="7"/>
  <c r="L8" i="8" l="1"/>
  <c r="L11" i="9" s="1"/>
  <c r="L18" i="7"/>
  <c r="M13" i="7"/>
  <c r="M31" i="6"/>
  <c r="M16" i="7" s="1"/>
  <c r="B16" i="1" s="1"/>
  <c r="L9" i="8"/>
  <c r="L12" i="9" s="1"/>
  <c r="L18" i="8"/>
  <c r="M10" i="7"/>
  <c r="M14" i="6"/>
  <c r="M34" i="6"/>
  <c r="M13" i="6"/>
  <c r="M15" i="6"/>
  <c r="K13" i="9"/>
  <c r="S22" i="7"/>
  <c r="S12" i="3"/>
  <c r="T11" i="3"/>
  <c r="B10" i="1"/>
  <c r="K34" i="7"/>
  <c r="K35" i="7" s="1"/>
  <c r="K37" i="7"/>
  <c r="R15" i="3"/>
  <c r="R16" i="3" s="1"/>
  <c r="R23" i="3" s="1"/>
  <c r="J35" i="7"/>
  <c r="B13" i="1"/>
  <c r="J38" i="7"/>
  <c r="J40" i="7" s="1"/>
  <c r="Q18" i="3"/>
  <c r="P19" i="3"/>
  <c r="P24" i="3" s="1"/>
  <c r="O25" i="3"/>
  <c r="P22" i="3"/>
  <c r="Q17" i="3"/>
  <c r="N7" i="7"/>
  <c r="N10" i="6"/>
  <c r="N20" i="6"/>
  <c r="N30" i="6" s="1"/>
  <c r="N15" i="7" s="1"/>
  <c r="N18" i="6"/>
  <c r="N28" i="6" s="1"/>
  <c r="P25" i="3" l="1"/>
  <c r="S32" i="7"/>
  <c r="K38" i="7"/>
  <c r="K19" i="8" s="1"/>
  <c r="T22" i="7"/>
  <c r="T32" i="7" s="1"/>
  <c r="T12" i="3"/>
  <c r="U11" i="3"/>
  <c r="S15" i="3"/>
  <c r="S16" i="3" s="1"/>
  <c r="S23" i="3" s="1"/>
  <c r="M8" i="8"/>
  <c r="M11" i="9" s="1"/>
  <c r="M18" i="7"/>
  <c r="O27" i="3"/>
  <c r="O30" i="3" s="1"/>
  <c r="O7" i="6" s="1"/>
  <c r="O31" i="3"/>
  <c r="O19" i="6" s="1"/>
  <c r="O29" i="6" s="1"/>
  <c r="O14" i="7" s="1"/>
  <c r="L34" i="7"/>
  <c r="L37" i="7"/>
  <c r="L19" i="7"/>
  <c r="Q22" i="3"/>
  <c r="R17" i="3"/>
  <c r="P27" i="3"/>
  <c r="P30" i="3" s="1"/>
  <c r="P7" i="6" s="1"/>
  <c r="P31" i="3"/>
  <c r="P19" i="6" s="1"/>
  <c r="P29" i="6" s="1"/>
  <c r="P14" i="7" s="1"/>
  <c r="Q19" i="3"/>
  <c r="Q24" i="3" s="1"/>
  <c r="R18" i="3"/>
  <c r="J7" i="9"/>
  <c r="J23" i="8"/>
  <c r="J41" i="7"/>
  <c r="N31" i="6"/>
  <c r="N16" i="7" s="1"/>
  <c r="N13" i="7"/>
  <c r="N14" i="6"/>
  <c r="N10" i="7"/>
  <c r="N13" i="6"/>
  <c r="N34" i="6"/>
  <c r="N15" i="6"/>
  <c r="L13" i="9"/>
  <c r="M18" i="8"/>
  <c r="M9" i="8"/>
  <c r="M12" i="9" s="1"/>
  <c r="J19" i="8"/>
  <c r="K40" i="7" l="1"/>
  <c r="K7" i="9" s="1"/>
  <c r="Q25" i="3"/>
  <c r="O20" i="6"/>
  <c r="O30" i="6" s="1"/>
  <c r="O15" i="7" s="1"/>
  <c r="O10" i="6"/>
  <c r="O7" i="7"/>
  <c r="O18" i="6"/>
  <c r="O28" i="6" s="1"/>
  <c r="Q27" i="3"/>
  <c r="Q30" i="3" s="1"/>
  <c r="Q7" i="6" s="1"/>
  <c r="Q31" i="3"/>
  <c r="Q19" i="6" s="1"/>
  <c r="Q29" i="6" s="1"/>
  <c r="Q14" i="7" s="1"/>
  <c r="M34" i="7"/>
  <c r="M35" i="7" s="1"/>
  <c r="M37" i="7"/>
  <c r="B18" i="1"/>
  <c r="J14" i="9"/>
  <c r="J16" i="9" s="1"/>
  <c r="J18" i="9" s="1"/>
  <c r="J28" i="9" s="1"/>
  <c r="J30" i="9" s="1"/>
  <c r="J20" i="8"/>
  <c r="M13" i="9"/>
  <c r="L35" i="7"/>
  <c r="B33" i="1"/>
  <c r="T15" i="3"/>
  <c r="T16" i="3" s="1"/>
  <c r="T23" i="3" s="1"/>
  <c r="R19" i="3"/>
  <c r="R24" i="3" s="1"/>
  <c r="S18" i="3"/>
  <c r="P10" i="6"/>
  <c r="P7" i="7"/>
  <c r="P20" i="6"/>
  <c r="P30" i="6" s="1"/>
  <c r="P15" i="7" s="1"/>
  <c r="P18" i="6"/>
  <c r="P28" i="6" s="1"/>
  <c r="M19" i="7"/>
  <c r="U22" i="7"/>
  <c r="U32" i="7" s="1"/>
  <c r="U12" i="3"/>
  <c r="V11" i="3"/>
  <c r="K14" i="9"/>
  <c r="K16" i="9" s="1"/>
  <c r="K20" i="8"/>
  <c r="S17" i="3"/>
  <c r="R22" i="3"/>
  <c r="L38" i="7"/>
  <c r="N8" i="8"/>
  <c r="N11" i="9" s="1"/>
  <c r="N18" i="7"/>
  <c r="N19" i="7" s="1"/>
  <c r="N18" i="8"/>
  <c r="N9" i="8"/>
  <c r="N12" i="9" s="1"/>
  <c r="J25" i="8"/>
  <c r="K23" i="8"/>
  <c r="K41" i="7" l="1"/>
  <c r="V22" i="7"/>
  <c r="V32" i="7" s="1"/>
  <c r="V12" i="3"/>
  <c r="W11" i="3"/>
  <c r="K29" i="9"/>
  <c r="J7" i="8"/>
  <c r="J10" i="8" s="1"/>
  <c r="J15" i="8" s="1"/>
  <c r="P31" i="6"/>
  <c r="P16" i="7" s="1"/>
  <c r="P13" i="7"/>
  <c r="S19" i="3"/>
  <c r="S24" i="3" s="1"/>
  <c r="T18" i="3"/>
  <c r="N13" i="9"/>
  <c r="K25" i="8"/>
  <c r="K27" i="8" s="1"/>
  <c r="Q10" i="6"/>
  <c r="Q7" i="7"/>
  <c r="Q18" i="6"/>
  <c r="Q28" i="6" s="1"/>
  <c r="Q20" i="6"/>
  <c r="Q30" i="6" s="1"/>
  <c r="Q15" i="7" s="1"/>
  <c r="U15" i="3"/>
  <c r="U16" i="3" s="1"/>
  <c r="U23" i="3" s="1"/>
  <c r="P14" i="6"/>
  <c r="P15" i="6"/>
  <c r="P34" i="6"/>
  <c r="P13" i="6"/>
  <c r="P10" i="7"/>
  <c r="B34" i="1"/>
  <c r="B19" i="1"/>
  <c r="M38" i="7"/>
  <c r="M19" i="8" s="1"/>
  <c r="B36" i="1"/>
  <c r="L19" i="8"/>
  <c r="T17" i="3"/>
  <c r="S22" i="3"/>
  <c r="J27" i="8"/>
  <c r="O31" i="6"/>
  <c r="O16" i="7" s="1"/>
  <c r="O13" i="7"/>
  <c r="O14" i="6"/>
  <c r="O15" i="6"/>
  <c r="O13" i="6"/>
  <c r="O34" i="6"/>
  <c r="O10" i="7"/>
  <c r="K18" i="9"/>
  <c r="K28" i="9" s="1"/>
  <c r="N34" i="7"/>
  <c r="N37" i="7"/>
  <c r="L40" i="7"/>
  <c r="R25" i="3"/>
  <c r="M40" i="7" l="1"/>
  <c r="M14" i="9"/>
  <c r="M16" i="9" s="1"/>
  <c r="M20" i="8"/>
  <c r="M7" i="9"/>
  <c r="B39" i="1"/>
  <c r="M41" i="7"/>
  <c r="L14" i="9"/>
  <c r="L16" i="9" s="1"/>
  <c r="L20" i="8"/>
  <c r="L7" i="9"/>
  <c r="L41" i="7"/>
  <c r="Q10" i="7"/>
  <c r="Q15" i="6"/>
  <c r="Q34" i="6"/>
  <c r="Q14" i="6"/>
  <c r="Q13" i="6"/>
  <c r="U18" i="3"/>
  <c r="T19" i="3"/>
  <c r="T24" i="3" s="1"/>
  <c r="K30" i="9"/>
  <c r="N35" i="7"/>
  <c r="O8" i="8"/>
  <c r="O11" i="9" s="1"/>
  <c r="O18" i="7"/>
  <c r="P18" i="8"/>
  <c r="P9" i="8"/>
  <c r="S25" i="3"/>
  <c r="W22" i="7"/>
  <c r="W32" i="7" s="1"/>
  <c r="W12" i="3"/>
  <c r="X11" i="3"/>
  <c r="N38" i="7"/>
  <c r="N40" i="7" s="1"/>
  <c r="O18" i="8"/>
  <c r="O9" i="8"/>
  <c r="O12" i="9" s="1"/>
  <c r="J29" i="8"/>
  <c r="T22" i="3"/>
  <c r="U17" i="3"/>
  <c r="V15" i="3"/>
  <c r="V16" i="3" s="1"/>
  <c r="V23" i="3" s="1"/>
  <c r="P8" i="8"/>
  <c r="P18" i="7"/>
  <c r="P19" i="7" s="1"/>
  <c r="R27" i="3"/>
  <c r="R30" i="3" s="1"/>
  <c r="R7" i="6" s="1"/>
  <c r="R31" i="3"/>
  <c r="R19" i="6" s="1"/>
  <c r="R29" i="6" s="1"/>
  <c r="R14" i="7" s="1"/>
  <c r="Q31" i="6"/>
  <c r="Q16" i="7" s="1"/>
  <c r="Q13" i="7"/>
  <c r="L23" i="8"/>
  <c r="B37" i="1"/>
  <c r="M18" i="9" l="1"/>
  <c r="M28" i="9" s="1"/>
  <c r="L18" i="9"/>
  <c r="L28" i="9" s="1"/>
  <c r="P12" i="9"/>
  <c r="Q18" i="8"/>
  <c r="Q9" i="8"/>
  <c r="Q12" i="9" s="1"/>
  <c r="P13" i="9"/>
  <c r="K7" i="8"/>
  <c r="K10" i="8" s="1"/>
  <c r="K15" i="8" s="1"/>
  <c r="K29" i="8" s="1"/>
  <c r="L29" i="9"/>
  <c r="L30" i="9" s="1"/>
  <c r="O34" i="7"/>
  <c r="O37" i="7"/>
  <c r="P34" i="7"/>
  <c r="P35" i="7" s="1"/>
  <c r="P37" i="7"/>
  <c r="R7" i="7"/>
  <c r="R20" i="6"/>
  <c r="R30" i="6" s="1"/>
  <c r="R15" i="7" s="1"/>
  <c r="R18" i="6"/>
  <c r="R28" i="6" s="1"/>
  <c r="R10" i="6"/>
  <c r="S27" i="3"/>
  <c r="S30" i="3" s="1"/>
  <c r="S7" i="6" s="1"/>
  <c r="S31" i="3"/>
  <c r="S19" i="6" s="1"/>
  <c r="S29" i="6" s="1"/>
  <c r="S14" i="7" s="1"/>
  <c r="L25" i="8"/>
  <c r="L27" i="8" s="1"/>
  <c r="M23" i="8"/>
  <c r="P11" i="9"/>
  <c r="N7" i="9"/>
  <c r="N41" i="7"/>
  <c r="Q8" i="8"/>
  <c r="Q11" i="9" s="1"/>
  <c r="Q18" i="7"/>
  <c r="Q19" i="7" s="1"/>
  <c r="T25" i="3"/>
  <c r="B40" i="1"/>
  <c r="N19" i="8"/>
  <c r="O19" i="7"/>
  <c r="U22" i="3"/>
  <c r="V17" i="3"/>
  <c r="O13" i="9"/>
  <c r="X22" i="7"/>
  <c r="X32" i="7" s="1"/>
  <c r="X12" i="3"/>
  <c r="Y11" i="3"/>
  <c r="V18" i="3"/>
  <c r="U19" i="3"/>
  <c r="U24" i="3" s="1"/>
  <c r="W15" i="3"/>
  <c r="W16" i="3" s="1"/>
  <c r="W23" i="3" s="1"/>
  <c r="T27" i="3" l="1"/>
  <c r="T30" i="3" s="1"/>
  <c r="T7" i="6" s="1"/>
  <c r="T31" i="3"/>
  <c r="T19" i="6" s="1"/>
  <c r="T29" i="6" s="1"/>
  <c r="T14" i="7" s="1"/>
  <c r="Q34" i="7"/>
  <c r="Q35" i="7" s="1"/>
  <c r="Q37" i="7"/>
  <c r="P38" i="7"/>
  <c r="P19" i="8" s="1"/>
  <c r="O38" i="7"/>
  <c r="O40" i="7" s="1"/>
  <c r="L7" i="8"/>
  <c r="L10" i="8" s="1"/>
  <c r="L15" i="8" s="1"/>
  <c r="L29" i="8" s="1"/>
  <c r="M29" i="9"/>
  <c r="M30" i="9" s="1"/>
  <c r="R31" i="6"/>
  <c r="R16" i="7" s="1"/>
  <c r="R13" i="7"/>
  <c r="Y22" i="7"/>
  <c r="Z11" i="3"/>
  <c r="Y12" i="3"/>
  <c r="O35" i="7"/>
  <c r="R10" i="7"/>
  <c r="R15" i="6"/>
  <c r="R34" i="6"/>
  <c r="R14" i="6"/>
  <c r="R13" i="6"/>
  <c r="W18" i="3"/>
  <c r="V19" i="3"/>
  <c r="V24" i="3" s="1"/>
  <c r="X15" i="3"/>
  <c r="X16" i="3" s="1"/>
  <c r="X23" i="3" s="1"/>
  <c r="Q13" i="9"/>
  <c r="M25" i="8"/>
  <c r="M27" i="8" s="1"/>
  <c r="N23" i="8"/>
  <c r="S7" i="7"/>
  <c r="S20" i="6"/>
  <c r="S30" i="6" s="1"/>
  <c r="S15" i="7" s="1"/>
  <c r="S18" i="6"/>
  <c r="S28" i="6" s="1"/>
  <c r="S10" i="6"/>
  <c r="W17" i="3"/>
  <c r="V22" i="3"/>
  <c r="U25" i="3"/>
  <c r="N14" i="9"/>
  <c r="N16" i="9" s="1"/>
  <c r="N18" i="9" s="1"/>
  <c r="N28" i="9" s="1"/>
  <c r="N20" i="8"/>
  <c r="P40" i="7" l="1"/>
  <c r="X18" i="3"/>
  <c r="W19" i="3"/>
  <c r="W24" i="3" s="1"/>
  <c r="Z22" i="7"/>
  <c r="Z12" i="3"/>
  <c r="AA11" i="3"/>
  <c r="M7" i="8"/>
  <c r="M10" i="8" s="1"/>
  <c r="M15" i="8" s="1"/>
  <c r="M29" i="8" s="1"/>
  <c r="N29" i="9"/>
  <c r="N30" i="9" s="1"/>
  <c r="X17" i="3"/>
  <c r="W22" i="3"/>
  <c r="W25" i="3" s="1"/>
  <c r="S10" i="7"/>
  <c r="S15" i="6"/>
  <c r="S34" i="6"/>
  <c r="S14" i="6"/>
  <c r="S13" i="6"/>
  <c r="R8" i="8"/>
  <c r="R11" i="9" s="1"/>
  <c r="R18" i="7"/>
  <c r="Y15" i="3"/>
  <c r="Y16" i="3" s="1"/>
  <c r="Y23" i="3" s="1"/>
  <c r="R18" i="8"/>
  <c r="R9" i="8"/>
  <c r="R12" i="9" s="1"/>
  <c r="O7" i="9"/>
  <c r="O41" i="7"/>
  <c r="O19" i="8"/>
  <c r="P20" i="8"/>
  <c r="Q38" i="7"/>
  <c r="Q19" i="8" s="1"/>
  <c r="N25" i="8"/>
  <c r="N27" i="8" s="1"/>
  <c r="O23" i="8"/>
  <c r="T18" i="6"/>
  <c r="T28" i="6" s="1"/>
  <c r="T7" i="7"/>
  <c r="T20" i="6"/>
  <c r="T30" i="6" s="1"/>
  <c r="T15" i="7" s="1"/>
  <c r="T10" i="6"/>
  <c r="Y32" i="7"/>
  <c r="C31" i="1" s="1"/>
  <c r="C22" i="1"/>
  <c r="U27" i="3"/>
  <c r="U30" i="3" s="1"/>
  <c r="U7" i="6" s="1"/>
  <c r="U31" i="3"/>
  <c r="U19" i="6" s="1"/>
  <c r="U29" i="6" s="1"/>
  <c r="U14" i="7" s="1"/>
  <c r="V25" i="3"/>
  <c r="P7" i="9"/>
  <c r="P41" i="7"/>
  <c r="S31" i="6"/>
  <c r="S16" i="7" s="1"/>
  <c r="S13" i="7"/>
  <c r="Q40" i="7" l="1"/>
  <c r="Q7" i="9" s="1"/>
  <c r="O14" i="9"/>
  <c r="O16" i="9" s="1"/>
  <c r="O20" i="8"/>
  <c r="R34" i="7"/>
  <c r="R37" i="7"/>
  <c r="O18" i="9"/>
  <c r="O28" i="9" s="1"/>
  <c r="R19" i="7"/>
  <c r="V31" i="3"/>
  <c r="V19" i="6" s="1"/>
  <c r="V29" i="6" s="1"/>
  <c r="V14" i="7" s="1"/>
  <c r="V27" i="3"/>
  <c r="V30" i="3" s="1"/>
  <c r="V7" i="6" s="1"/>
  <c r="Y17" i="3"/>
  <c r="X22" i="3"/>
  <c r="P23" i="8"/>
  <c r="O25" i="8"/>
  <c r="Z15" i="3"/>
  <c r="Z16" i="3" s="1"/>
  <c r="Z23" i="3" s="1"/>
  <c r="P14" i="9"/>
  <c r="P16" i="9" s="1"/>
  <c r="P18" i="9" s="1"/>
  <c r="P28" i="9" s="1"/>
  <c r="S18" i="8"/>
  <c r="S9" i="8"/>
  <c r="S12" i="9" s="1"/>
  <c r="U18" i="6"/>
  <c r="U28" i="6" s="1"/>
  <c r="U7" i="7"/>
  <c r="U20" i="6"/>
  <c r="U30" i="6" s="1"/>
  <c r="U15" i="7" s="1"/>
  <c r="U10" i="6"/>
  <c r="S8" i="8"/>
  <c r="S11" i="9" s="1"/>
  <c r="S18" i="7"/>
  <c r="S19" i="7" s="1"/>
  <c r="T10" i="7"/>
  <c r="T15" i="6"/>
  <c r="T13" i="6"/>
  <c r="T34" i="6"/>
  <c r="T14" i="6"/>
  <c r="N7" i="8"/>
  <c r="N10" i="8" s="1"/>
  <c r="N15" i="8" s="1"/>
  <c r="N29" i="8" s="1"/>
  <c r="O29" i="9"/>
  <c r="AA22" i="7"/>
  <c r="AA32" i="7" s="1"/>
  <c r="AA12" i="3"/>
  <c r="AB11" i="3"/>
  <c r="Z32" i="7"/>
  <c r="R13" i="9"/>
  <c r="W27" i="3"/>
  <c r="W30" i="3" s="1"/>
  <c r="W7" i="6" s="1"/>
  <c r="W31" i="3"/>
  <c r="W19" i="6" s="1"/>
  <c r="W29" i="6" s="1"/>
  <c r="W14" i="7" s="1"/>
  <c r="T31" i="6"/>
  <c r="T16" i="7" s="1"/>
  <c r="T13" i="7"/>
  <c r="Q14" i="9"/>
  <c r="Q16" i="9" s="1"/>
  <c r="Q20" i="8"/>
  <c r="X19" i="3"/>
  <c r="X24" i="3" s="1"/>
  <c r="Y18" i="3"/>
  <c r="Q41" i="7" l="1"/>
  <c r="Y19" i="3"/>
  <c r="Y24" i="3" s="1"/>
  <c r="Z18" i="3"/>
  <c r="T18" i="8"/>
  <c r="T9" i="8"/>
  <c r="T12" i="9" s="1"/>
  <c r="S13" i="9"/>
  <c r="Z17" i="3"/>
  <c r="Y22" i="3"/>
  <c r="Y25" i="3" s="1"/>
  <c r="R38" i="7"/>
  <c r="S34" i="7"/>
  <c r="S35" i="7" s="1"/>
  <c r="S37" i="7"/>
  <c r="U13" i="7"/>
  <c r="U31" i="6"/>
  <c r="U16" i="7" s="1"/>
  <c r="Q18" i="9"/>
  <c r="Q28" i="9" s="1"/>
  <c r="X25" i="3"/>
  <c r="O30" i="9"/>
  <c r="R35" i="7"/>
  <c r="AA15" i="3"/>
  <c r="AA16" i="3" s="1"/>
  <c r="AA23" i="3" s="1"/>
  <c r="O27" i="8"/>
  <c r="T8" i="8"/>
  <c r="T11" i="9" s="1"/>
  <c r="T18" i="7"/>
  <c r="T19" i="7" s="1"/>
  <c r="U10" i="7"/>
  <c r="U15" i="6"/>
  <c r="U13" i="6"/>
  <c r="U34" i="6"/>
  <c r="U14" i="6"/>
  <c r="W18" i="6"/>
  <c r="W28" i="6" s="1"/>
  <c r="W20" i="6"/>
  <c r="W30" i="6" s="1"/>
  <c r="W15" i="7" s="1"/>
  <c r="W7" i="7"/>
  <c r="W10" i="6"/>
  <c r="Q23" i="8"/>
  <c r="P25" i="8"/>
  <c r="P27" i="8" s="1"/>
  <c r="V18" i="6"/>
  <c r="V28" i="6" s="1"/>
  <c r="V20" i="6"/>
  <c r="V30" i="6" s="1"/>
  <c r="V15" i="7" s="1"/>
  <c r="V10" i="6"/>
  <c r="V7" i="7"/>
  <c r="AB22" i="7"/>
  <c r="AB12" i="3"/>
  <c r="AC11" i="3"/>
  <c r="V15" i="6" l="1"/>
  <c r="V13" i="6"/>
  <c r="V10" i="7"/>
  <c r="V34" i="6"/>
  <c r="V14" i="6"/>
  <c r="Y27" i="3"/>
  <c r="Y30" i="3" s="1"/>
  <c r="Y7" i="6" s="1"/>
  <c r="Y31" i="3"/>
  <c r="Y19" i="6" s="1"/>
  <c r="Y29" i="6" s="1"/>
  <c r="Y14" i="7" s="1"/>
  <c r="AA18" i="3"/>
  <c r="Z19" i="3"/>
  <c r="Z24" i="3" s="1"/>
  <c r="AC22" i="7"/>
  <c r="AC32" i="7" s="1"/>
  <c r="AC12" i="3"/>
  <c r="AD11" i="3"/>
  <c r="U9" i="8"/>
  <c r="U12" i="9" s="1"/>
  <c r="U18" i="8"/>
  <c r="R19" i="8"/>
  <c r="Q25" i="8"/>
  <c r="Q27" i="8" s="1"/>
  <c r="T34" i="7"/>
  <c r="T37" i="7"/>
  <c r="O7" i="8"/>
  <c r="O10" i="8" s="1"/>
  <c r="O15" i="8" s="1"/>
  <c r="O29" i="8" s="1"/>
  <c r="P29" i="9"/>
  <c r="P30" i="9" s="1"/>
  <c r="X27" i="3"/>
  <c r="X30" i="3" s="1"/>
  <c r="X7" i="6" s="1"/>
  <c r="X31" i="3"/>
  <c r="X19" i="6" s="1"/>
  <c r="X29" i="6" s="1"/>
  <c r="X14" i="7" s="1"/>
  <c r="AB15" i="3"/>
  <c r="AB16" i="3" s="1"/>
  <c r="AB23" i="3" s="1"/>
  <c r="S38" i="7"/>
  <c r="S19" i="8" s="1"/>
  <c r="R40" i="7"/>
  <c r="AA17" i="3"/>
  <c r="Z22" i="3"/>
  <c r="W13" i="7"/>
  <c r="W31" i="6"/>
  <c r="W16" i="7" s="1"/>
  <c r="T13" i="9"/>
  <c r="AB32" i="7"/>
  <c r="V13" i="7"/>
  <c r="V31" i="6"/>
  <c r="V16" i="7" s="1"/>
  <c r="W10" i="7"/>
  <c r="W15" i="6"/>
  <c r="W13" i="6"/>
  <c r="W14" i="6"/>
  <c r="W34" i="6"/>
  <c r="U8" i="8"/>
  <c r="U11" i="9" s="1"/>
  <c r="U18" i="7"/>
  <c r="U19" i="7" s="1"/>
  <c r="S40" i="7" l="1"/>
  <c r="R7" i="9"/>
  <c r="R41" i="7"/>
  <c r="AA19" i="3"/>
  <c r="AA24" i="3" s="1"/>
  <c r="AB18" i="3"/>
  <c r="S14" i="9"/>
  <c r="S16" i="9" s="1"/>
  <c r="S20" i="8"/>
  <c r="R14" i="9"/>
  <c r="R16" i="9" s="1"/>
  <c r="R20" i="8"/>
  <c r="AC15" i="3"/>
  <c r="AC16" i="3" s="1"/>
  <c r="AC23" i="3" s="1"/>
  <c r="C14" i="1"/>
  <c r="P7" i="8"/>
  <c r="P10" i="8" s="1"/>
  <c r="P15" i="8" s="1"/>
  <c r="P29" i="8" s="1"/>
  <c r="Q29" i="9"/>
  <c r="Q30" i="9" s="1"/>
  <c r="AD22" i="7"/>
  <c r="AD32" i="7" s="1"/>
  <c r="AD12" i="3"/>
  <c r="AE11" i="3"/>
  <c r="W18" i="7"/>
  <c r="W19" i="7" s="1"/>
  <c r="W8" i="8"/>
  <c r="W11" i="9" s="1"/>
  <c r="Y7" i="7"/>
  <c r="Y20" i="6"/>
  <c r="Y30" i="6" s="1"/>
  <c r="Y15" i="7" s="1"/>
  <c r="Y18" i="6"/>
  <c r="Y28" i="6" s="1"/>
  <c r="Y10" i="6"/>
  <c r="W9" i="8"/>
  <c r="W12" i="9" s="1"/>
  <c r="W18" i="8"/>
  <c r="S7" i="9"/>
  <c r="S18" i="9" s="1"/>
  <c r="S28" i="9" s="1"/>
  <c r="S41" i="7"/>
  <c r="X18" i="6"/>
  <c r="X28" i="6" s="1"/>
  <c r="X7" i="7"/>
  <c r="X10" i="6"/>
  <c r="X20" i="6"/>
  <c r="X30" i="6" s="1"/>
  <c r="X15" i="7" s="1"/>
  <c r="T38" i="7"/>
  <c r="T19" i="8" s="1"/>
  <c r="R23" i="8"/>
  <c r="V9" i="8"/>
  <c r="V12" i="9" s="1"/>
  <c r="V18" i="8"/>
  <c r="V8" i="8"/>
  <c r="V11" i="9" s="1"/>
  <c r="V18" i="7"/>
  <c r="V19" i="7" s="1"/>
  <c r="Z25" i="3"/>
  <c r="T35" i="7"/>
  <c r="U34" i="7"/>
  <c r="U35" i="7" s="1"/>
  <c r="U37" i="7"/>
  <c r="U13" i="9"/>
  <c r="AB17" i="3"/>
  <c r="AA22" i="3"/>
  <c r="AA25" i="3" s="1"/>
  <c r="T40" i="7" l="1"/>
  <c r="C15" i="1"/>
  <c r="C7" i="1"/>
  <c r="U38" i="7"/>
  <c r="U40" i="7" s="1"/>
  <c r="AC17" i="3"/>
  <c r="AB22" i="3"/>
  <c r="W13" i="9"/>
  <c r="AA27" i="3"/>
  <c r="AA30" i="3" s="1"/>
  <c r="AA7" i="6" s="1"/>
  <c r="AA31" i="3"/>
  <c r="AA19" i="6" s="1"/>
  <c r="AA29" i="6" s="1"/>
  <c r="AA14" i="7" s="1"/>
  <c r="Y10" i="7"/>
  <c r="Y14" i="6"/>
  <c r="Y13" i="6"/>
  <c r="Y34" i="6"/>
  <c r="Y15" i="6"/>
  <c r="AE22" i="7"/>
  <c r="AE12" i="3"/>
  <c r="AF11" i="3"/>
  <c r="AD15" i="3"/>
  <c r="AD16" i="3" s="1"/>
  <c r="AD23" i="3" s="1"/>
  <c r="V34" i="7"/>
  <c r="V35" i="7" s="1"/>
  <c r="V37" i="7"/>
  <c r="R27" i="8"/>
  <c r="T7" i="9"/>
  <c r="T41" i="7"/>
  <c r="AB19" i="3"/>
  <c r="AB24" i="3" s="1"/>
  <c r="AC18" i="3"/>
  <c r="X10" i="7"/>
  <c r="X34" i="6"/>
  <c r="X15" i="6"/>
  <c r="X13" i="6"/>
  <c r="X14" i="6"/>
  <c r="Y13" i="7"/>
  <c r="Y31" i="6"/>
  <c r="Y16" i="7" s="1"/>
  <c r="W34" i="7"/>
  <c r="W35" i="7" s="1"/>
  <c r="W37" i="7"/>
  <c r="V13" i="9"/>
  <c r="R18" i="9"/>
  <c r="R28" i="9" s="1"/>
  <c r="Z27" i="3"/>
  <c r="Z30" i="3" s="1"/>
  <c r="Z7" i="6" s="1"/>
  <c r="Z31" i="3"/>
  <c r="Z19" i="6" s="1"/>
  <c r="Z29" i="6" s="1"/>
  <c r="Z14" i="7" s="1"/>
  <c r="Q7" i="8"/>
  <c r="Q10" i="8" s="1"/>
  <c r="Q15" i="8" s="1"/>
  <c r="Q29" i="8" s="1"/>
  <c r="R29" i="9"/>
  <c r="R30" i="9" s="1"/>
  <c r="S23" i="8"/>
  <c r="R25" i="8"/>
  <c r="T14" i="9"/>
  <c r="T16" i="9" s="1"/>
  <c r="T20" i="8"/>
  <c r="X13" i="7"/>
  <c r="X31" i="6"/>
  <c r="X16" i="7" s="1"/>
  <c r="U7" i="9" l="1"/>
  <c r="U41" i="7"/>
  <c r="X18" i="7"/>
  <c r="X8" i="8"/>
  <c r="X11" i="9" s="1"/>
  <c r="X19" i="7"/>
  <c r="T18" i="9"/>
  <c r="T28" i="9" s="1"/>
  <c r="T23" i="8"/>
  <c r="S25" i="8"/>
  <c r="S27" i="8" s="1"/>
  <c r="AE15" i="3"/>
  <c r="AE16" i="3" s="1"/>
  <c r="AE23" i="3" s="1"/>
  <c r="AE32" i="7"/>
  <c r="AC19" i="3"/>
  <c r="AC24" i="3" s="1"/>
  <c r="AD18" i="3"/>
  <c r="R7" i="8"/>
  <c r="R10" i="8" s="1"/>
  <c r="R15" i="8" s="1"/>
  <c r="R29" i="8" s="1"/>
  <c r="S29" i="9"/>
  <c r="S30" i="9" s="1"/>
  <c r="X9" i="8"/>
  <c r="X12" i="9" s="1"/>
  <c r="X18" i="8"/>
  <c r="C16" i="1"/>
  <c r="V38" i="7"/>
  <c r="V19" i="8" s="1"/>
  <c r="AF22" i="7"/>
  <c r="AF32" i="7" s="1"/>
  <c r="AF12" i="3"/>
  <c r="AG11" i="3"/>
  <c r="Z7" i="7"/>
  <c r="Z20" i="6"/>
  <c r="Z30" i="6" s="1"/>
  <c r="Z15" i="7" s="1"/>
  <c r="Z18" i="6"/>
  <c r="Z28" i="6" s="1"/>
  <c r="Z10" i="6"/>
  <c r="AB25" i="3"/>
  <c r="Y9" i="8"/>
  <c r="Y18" i="8"/>
  <c r="C13" i="1"/>
  <c r="AA7" i="7"/>
  <c r="AA18" i="6"/>
  <c r="AA28" i="6" s="1"/>
  <c r="AA10" i="6"/>
  <c r="AA20" i="6"/>
  <c r="AA30" i="6" s="1"/>
  <c r="AA15" i="7" s="1"/>
  <c r="W38" i="7"/>
  <c r="W19" i="8" s="1"/>
  <c r="U19" i="8"/>
  <c r="Y18" i="7"/>
  <c r="Y19" i="7" s="1"/>
  <c r="Y8" i="8"/>
  <c r="Y11" i="9" s="1"/>
  <c r="C10" i="1"/>
  <c r="AD17" i="3"/>
  <c r="AC22" i="3"/>
  <c r="AC25" i="3" l="1"/>
  <c r="AG22" i="7"/>
  <c r="AG32" i="7" s="1"/>
  <c r="AG12" i="3"/>
  <c r="AH11" i="3"/>
  <c r="AF15" i="3"/>
  <c r="AF16" i="3" s="1"/>
  <c r="AF23" i="3" s="1"/>
  <c r="V40" i="7"/>
  <c r="V14" i="9"/>
  <c r="V16" i="9" s="1"/>
  <c r="V20" i="8"/>
  <c r="AE17" i="3"/>
  <c r="AD22" i="3"/>
  <c r="S7" i="8"/>
  <c r="S10" i="8" s="1"/>
  <c r="S15" i="8" s="1"/>
  <c r="S29" i="8" s="1"/>
  <c r="T29" i="9"/>
  <c r="T30" i="9" s="1"/>
  <c r="AC31" i="3"/>
  <c r="AC19" i="6" s="1"/>
  <c r="AC29" i="6" s="1"/>
  <c r="AC14" i="7" s="1"/>
  <c r="AC27" i="3"/>
  <c r="AC30" i="3" s="1"/>
  <c r="AC7" i="6" s="1"/>
  <c r="C43" i="1"/>
  <c r="Y34" i="7"/>
  <c r="Y37" i="7"/>
  <c r="C18" i="1"/>
  <c r="Y12" i="9"/>
  <c r="U14" i="9"/>
  <c r="U16" i="9" s="1"/>
  <c r="U18" i="9" s="1"/>
  <c r="U28" i="9" s="1"/>
  <c r="U20" i="8"/>
  <c r="U23" i="8"/>
  <c r="T25" i="8"/>
  <c r="T27" i="8" s="1"/>
  <c r="Y13" i="9"/>
  <c r="AB27" i="3"/>
  <c r="AB30" i="3" s="1"/>
  <c r="AB7" i="6" s="1"/>
  <c r="AB31" i="3"/>
  <c r="AB19" i="6" s="1"/>
  <c r="AB29" i="6" s="1"/>
  <c r="AB14" i="7" s="1"/>
  <c r="X13" i="9"/>
  <c r="W14" i="9"/>
  <c r="W16" i="9" s="1"/>
  <c r="W20" i="8"/>
  <c r="W40" i="7"/>
  <c r="AA13" i="7"/>
  <c r="AA31" i="6"/>
  <c r="AA16" i="7" s="1"/>
  <c r="X34" i="7"/>
  <c r="X35" i="7" s="1"/>
  <c r="X37" i="7"/>
  <c r="Z10" i="7"/>
  <c r="Z15" i="6"/>
  <c r="Z13" i="6"/>
  <c r="Z34" i="6"/>
  <c r="Z14" i="6"/>
  <c r="AE18" i="3"/>
  <c r="AD19" i="3"/>
  <c r="AD24" i="3" s="1"/>
  <c r="AA10" i="7"/>
  <c r="AA13" i="6"/>
  <c r="AA15" i="6"/>
  <c r="AA34" i="6"/>
  <c r="AA14" i="6"/>
  <c r="Z13" i="7"/>
  <c r="Z31" i="6"/>
  <c r="Z16" i="7" s="1"/>
  <c r="V23" i="8" l="1"/>
  <c r="U25" i="8"/>
  <c r="U27" i="8" s="1"/>
  <c r="Z9" i="8"/>
  <c r="Z12" i="9" s="1"/>
  <c r="Z18" i="8"/>
  <c r="Y38" i="7"/>
  <c r="Y40" i="7" s="1"/>
  <c r="C36" i="1"/>
  <c r="AF18" i="3"/>
  <c r="AE19" i="3"/>
  <c r="AE24" i="3" s="1"/>
  <c r="C33" i="1"/>
  <c r="Y35" i="7"/>
  <c r="AC7" i="7"/>
  <c r="AC20" i="6"/>
  <c r="AC30" i="6" s="1"/>
  <c r="AC15" i="7" s="1"/>
  <c r="AC10" i="6"/>
  <c r="AC18" i="6"/>
  <c r="AC28" i="6" s="1"/>
  <c r="X38" i="7"/>
  <c r="X19" i="8" s="1"/>
  <c r="AA9" i="8"/>
  <c r="AA12" i="9" s="1"/>
  <c r="AA18" i="8"/>
  <c r="AD25" i="3"/>
  <c r="AH22" i="7"/>
  <c r="AH32" i="7" s="1"/>
  <c r="AI11" i="3"/>
  <c r="AH12" i="3"/>
  <c r="AA18" i="7"/>
  <c r="AA19" i="7" s="1"/>
  <c r="AA8" i="8"/>
  <c r="V7" i="9"/>
  <c r="V18" i="9" s="1"/>
  <c r="V28" i="9" s="1"/>
  <c r="V41" i="7"/>
  <c r="AG15" i="3"/>
  <c r="AG16" i="3" s="1"/>
  <c r="AG23" i="3" s="1"/>
  <c r="C19" i="1"/>
  <c r="Z18" i="7"/>
  <c r="Z19" i="7" s="1"/>
  <c r="Z8" i="8"/>
  <c r="Z11" i="9" s="1"/>
  <c r="U29" i="9"/>
  <c r="U30" i="9" s="1"/>
  <c r="T7" i="8"/>
  <c r="T10" i="8" s="1"/>
  <c r="T15" i="8" s="1"/>
  <c r="T29" i="8" s="1"/>
  <c r="W7" i="9"/>
  <c r="W18" i="9" s="1"/>
  <c r="W28" i="9" s="1"/>
  <c r="W41" i="7"/>
  <c r="AF17" i="3"/>
  <c r="AE22" i="3"/>
  <c r="AB7" i="7"/>
  <c r="AB20" i="6"/>
  <c r="AB30" i="6" s="1"/>
  <c r="AB15" i="7" s="1"/>
  <c r="AB18" i="6"/>
  <c r="AB28" i="6" s="1"/>
  <c r="AB10" i="6"/>
  <c r="AE25" i="3" l="1"/>
  <c r="Y7" i="9"/>
  <c r="Y41" i="7"/>
  <c r="AH15" i="3"/>
  <c r="AH16" i="3" s="1"/>
  <c r="AH23" i="3" s="1"/>
  <c r="AI22" i="7"/>
  <c r="AI32" i="7" s="1"/>
  <c r="AJ11" i="3"/>
  <c r="AI12" i="3"/>
  <c r="AD27" i="3"/>
  <c r="AD30" i="3" s="1"/>
  <c r="AD7" i="6" s="1"/>
  <c r="AD31" i="3"/>
  <c r="AD19" i="6" s="1"/>
  <c r="AD29" i="6" s="1"/>
  <c r="AD14" i="7" s="1"/>
  <c r="X40" i="7"/>
  <c r="AB13" i="7"/>
  <c r="AB31" i="6"/>
  <c r="AB16" i="7" s="1"/>
  <c r="C34" i="1"/>
  <c r="X14" i="9"/>
  <c r="X16" i="9" s="1"/>
  <c r="X20" i="8"/>
  <c r="AF22" i="3"/>
  <c r="AG17" i="3"/>
  <c r="AC31" i="6"/>
  <c r="AC16" i="7" s="1"/>
  <c r="AC13" i="7"/>
  <c r="AG18" i="3"/>
  <c r="AF19" i="3"/>
  <c r="AF24" i="3" s="1"/>
  <c r="AE31" i="3"/>
  <c r="AE19" i="6" s="1"/>
  <c r="AE29" i="6" s="1"/>
  <c r="AE14" i="7" s="1"/>
  <c r="AE27" i="3"/>
  <c r="AE30" i="3" s="1"/>
  <c r="AE7" i="6" s="1"/>
  <c r="V29" i="9"/>
  <c r="V30" i="9" s="1"/>
  <c r="U7" i="8"/>
  <c r="U10" i="8" s="1"/>
  <c r="U15" i="8" s="1"/>
  <c r="U29" i="8" s="1"/>
  <c r="Z13" i="9"/>
  <c r="AA11" i="9"/>
  <c r="W23" i="8"/>
  <c r="V25" i="8"/>
  <c r="V27" i="8" s="1"/>
  <c r="AA13" i="9"/>
  <c r="Z37" i="7"/>
  <c r="Z34" i="7"/>
  <c r="Y19" i="8"/>
  <c r="C37" i="1"/>
  <c r="AB10" i="7"/>
  <c r="AB15" i="6"/>
  <c r="AB13" i="6"/>
  <c r="AB34" i="6"/>
  <c r="AB14" i="6"/>
  <c r="AC34" i="6"/>
  <c r="AC15" i="6"/>
  <c r="AC13" i="6"/>
  <c r="AC10" i="7"/>
  <c r="AC14" i="6"/>
  <c r="AA37" i="7"/>
  <c r="AA34" i="7"/>
  <c r="AA35" i="7" s="1"/>
  <c r="W29" i="9" l="1"/>
  <c r="W30" i="9" s="1"/>
  <c r="V7" i="8"/>
  <c r="V10" i="8" s="1"/>
  <c r="V15" i="8" s="1"/>
  <c r="V29" i="8" s="1"/>
  <c r="AG19" i="3"/>
  <c r="AG24" i="3" s="1"/>
  <c r="AH18" i="3"/>
  <c r="AA38" i="7"/>
  <c r="AA19" i="8" s="1"/>
  <c r="AC9" i="8"/>
  <c r="AC18" i="8"/>
  <c r="AC18" i="7"/>
  <c r="AC8" i="8"/>
  <c r="X7" i="9"/>
  <c r="X18" i="9" s="1"/>
  <c r="X28" i="9" s="1"/>
  <c r="X41" i="7"/>
  <c r="Y14" i="9"/>
  <c r="Y16" i="9" s="1"/>
  <c r="Y18" i="9" s="1"/>
  <c r="Y28" i="9" s="1"/>
  <c r="Y20" i="8"/>
  <c r="Z38" i="7"/>
  <c r="AG22" i="3"/>
  <c r="AG25" i="3" s="1"/>
  <c r="AH17" i="3"/>
  <c r="AD7" i="7"/>
  <c r="AD20" i="6"/>
  <c r="AD30" i="6" s="1"/>
  <c r="AD15" i="7" s="1"/>
  <c r="AD18" i="6"/>
  <c r="AD28" i="6" s="1"/>
  <c r="AD10" i="6"/>
  <c r="C39" i="1"/>
  <c r="AF25" i="3"/>
  <c r="AB18" i="8"/>
  <c r="AB9" i="8"/>
  <c r="AB12" i="9" s="1"/>
  <c r="AB18" i="7"/>
  <c r="AB19" i="7" s="1"/>
  <c r="AB8" i="8"/>
  <c r="AB11" i="9" s="1"/>
  <c r="Z35" i="7"/>
  <c r="AJ22" i="7"/>
  <c r="AJ32" i="7" s="1"/>
  <c r="AJ12" i="3"/>
  <c r="AK11" i="3"/>
  <c r="W25" i="8"/>
  <c r="W27" i="8" s="1"/>
  <c r="X23" i="8"/>
  <c r="AE7" i="7"/>
  <c r="AE20" i="6"/>
  <c r="AE30" i="6" s="1"/>
  <c r="AE15" i="7" s="1"/>
  <c r="AE18" i="6"/>
  <c r="AE28" i="6" s="1"/>
  <c r="AE10" i="6"/>
  <c r="AI15" i="3"/>
  <c r="AI16" i="3" s="1"/>
  <c r="AI23" i="3" s="1"/>
  <c r="AC11" i="9" l="1"/>
  <c r="AC12" i="9"/>
  <c r="AD31" i="6"/>
  <c r="AD16" i="7" s="1"/>
  <c r="AD13" i="7"/>
  <c r="AH22" i="3"/>
  <c r="AI17" i="3"/>
  <c r="AG27" i="3"/>
  <c r="AG30" i="3" s="1"/>
  <c r="AG7" i="6" s="1"/>
  <c r="AG31" i="3"/>
  <c r="AG19" i="6" s="1"/>
  <c r="AG29" i="6" s="1"/>
  <c r="AG14" i="7" s="1"/>
  <c r="Z19" i="8"/>
  <c r="AE34" i="6"/>
  <c r="AE14" i="6"/>
  <c r="AE15" i="6"/>
  <c r="AE13" i="6"/>
  <c r="AE10" i="7"/>
  <c r="AK22" i="7"/>
  <c r="AK12" i="3"/>
  <c r="AL11" i="3"/>
  <c r="AC13" i="9"/>
  <c r="AD34" i="6"/>
  <c r="AD15" i="6"/>
  <c r="AD13" i="6"/>
  <c r="AD10" i="7"/>
  <c r="AD14" i="6"/>
  <c r="AE31" i="6"/>
  <c r="AE16" i="7" s="1"/>
  <c r="AE13" i="7"/>
  <c r="X25" i="8"/>
  <c r="X27" i="8" s="1"/>
  <c r="Y23" i="8"/>
  <c r="AC37" i="7"/>
  <c r="AC34" i="7"/>
  <c r="AC35" i="7" s="1"/>
  <c r="AA20" i="8"/>
  <c r="AF27" i="3"/>
  <c r="AF30" i="3" s="1"/>
  <c r="AF7" i="6" s="1"/>
  <c r="AF31" i="3"/>
  <c r="AF19" i="6" s="1"/>
  <c r="AF29" i="6" s="1"/>
  <c r="AF14" i="7" s="1"/>
  <c r="C44" i="1"/>
  <c r="C40" i="1"/>
  <c r="AC19" i="7"/>
  <c r="AA40" i="7"/>
  <c r="AB37" i="7"/>
  <c r="AB34" i="7"/>
  <c r="X29" i="9"/>
  <c r="X30" i="9" s="1"/>
  <c r="W7" i="8"/>
  <c r="W10" i="8" s="1"/>
  <c r="W15" i="8" s="1"/>
  <c r="W29" i="8" s="1"/>
  <c r="Z40" i="7"/>
  <c r="AJ15" i="3"/>
  <c r="AJ16" i="3" s="1"/>
  <c r="AJ23" i="3" s="1"/>
  <c r="AI18" i="3"/>
  <c r="AH19" i="3"/>
  <c r="AH24" i="3" s="1"/>
  <c r="AB13" i="9"/>
  <c r="AC38" i="7" l="1"/>
  <c r="AC19" i="8" s="1"/>
  <c r="AD8" i="8"/>
  <c r="AD11" i="9" s="1"/>
  <c r="AD18" i="7"/>
  <c r="Y25" i="8"/>
  <c r="Y27" i="8" s="1"/>
  <c r="Z23" i="8"/>
  <c r="AL22" i="7"/>
  <c r="AM11" i="3"/>
  <c r="AL12" i="3"/>
  <c r="AE9" i="8"/>
  <c r="AE18" i="8"/>
  <c r="AK15" i="3"/>
  <c r="AK16" i="3" s="1"/>
  <c r="AK23" i="3" s="1"/>
  <c r="AK32" i="7"/>
  <c r="D31" i="1" s="1"/>
  <c r="D22" i="1"/>
  <c r="Y29" i="9"/>
  <c r="Y30" i="9" s="1"/>
  <c r="X7" i="8"/>
  <c r="X10" i="8" s="1"/>
  <c r="X15" i="8" s="1"/>
  <c r="X29" i="8" s="1"/>
  <c r="AE8" i="8"/>
  <c r="AE11" i="9" s="1"/>
  <c r="AE18" i="7"/>
  <c r="AB35" i="7"/>
  <c r="AA7" i="9"/>
  <c r="AA18" i="9" s="1"/>
  <c r="AA28" i="9" s="1"/>
  <c r="AA41" i="7"/>
  <c r="AF20" i="6"/>
  <c r="AF30" i="6" s="1"/>
  <c r="AF15" i="7" s="1"/>
  <c r="AF7" i="7"/>
  <c r="AF10" i="6"/>
  <c r="AF18" i="6"/>
  <c r="AF28" i="6" s="1"/>
  <c r="AD9" i="8"/>
  <c r="AD12" i="9" s="1"/>
  <c r="AD18" i="8"/>
  <c r="Z7" i="9"/>
  <c r="Z41" i="7"/>
  <c r="AJ18" i="3"/>
  <c r="AI19" i="3"/>
  <c r="AI24" i="3" s="1"/>
  <c r="AB38" i="7"/>
  <c r="AB40" i="7" s="1"/>
  <c r="Z14" i="9"/>
  <c r="Z16" i="9" s="1"/>
  <c r="Z20" i="8"/>
  <c r="AG7" i="7"/>
  <c r="AG18" i="6"/>
  <c r="AG28" i="6" s="1"/>
  <c r="AG10" i="6"/>
  <c r="AG20" i="6"/>
  <c r="AG30" i="6" s="1"/>
  <c r="AG15" i="7" s="1"/>
  <c r="AI22" i="3"/>
  <c r="AJ17" i="3"/>
  <c r="AH25" i="3"/>
  <c r="AA14" i="9"/>
  <c r="AA16" i="9" s="1"/>
  <c r="AI25" i="3" l="1"/>
  <c r="AE12" i="9"/>
  <c r="AB7" i="9"/>
  <c r="AB41" i="7"/>
  <c r="AJ22" i="3"/>
  <c r="AK17" i="3"/>
  <c r="AG13" i="7"/>
  <c r="AG31" i="6"/>
  <c r="AG16" i="7" s="1"/>
  <c r="AE37" i="7"/>
  <c r="AE34" i="7"/>
  <c r="AE35" i="7" s="1"/>
  <c r="AI27" i="3"/>
  <c r="AI30" i="3" s="1"/>
  <c r="AI7" i="6" s="1"/>
  <c r="AI31" i="3"/>
  <c r="AI19" i="6" s="1"/>
  <c r="AI29" i="6" s="1"/>
  <c r="AI14" i="7" s="1"/>
  <c r="AG34" i="6"/>
  <c r="AG13" i="6"/>
  <c r="AG10" i="7"/>
  <c r="AG15" i="6"/>
  <c r="AG14" i="6"/>
  <c r="AB19" i="8"/>
  <c r="AC14" i="9" s="1"/>
  <c r="AC16" i="9" s="1"/>
  <c r="AM22" i="7"/>
  <c r="AM32" i="7" s="1"/>
  <c r="AM12" i="3"/>
  <c r="AN11" i="3"/>
  <c r="Z18" i="9"/>
  <c r="Z28" i="9" s="1"/>
  <c r="AC20" i="8"/>
  <c r="AH31" i="3"/>
  <c r="AH19" i="6" s="1"/>
  <c r="AH29" i="6" s="1"/>
  <c r="AH14" i="7" s="1"/>
  <c r="AH27" i="3"/>
  <c r="AH30" i="3" s="1"/>
  <c r="AH7" i="6" s="1"/>
  <c r="AL32" i="7"/>
  <c r="AD37" i="7"/>
  <c r="AD34" i="7"/>
  <c r="AC40" i="7"/>
  <c r="AE13" i="9"/>
  <c r="Z25" i="8"/>
  <c r="Z27" i="8" s="1"/>
  <c r="AA23" i="8"/>
  <c r="AF34" i="6"/>
  <c r="AF15" i="6"/>
  <c r="AF13" i="6"/>
  <c r="AF10" i="7"/>
  <c r="AF14" i="6"/>
  <c r="AE19" i="7"/>
  <c r="Y7" i="8"/>
  <c r="Y10" i="8" s="1"/>
  <c r="Y15" i="8" s="1"/>
  <c r="Y29" i="8" s="1"/>
  <c r="Z29" i="9"/>
  <c r="AL15" i="3"/>
  <c r="AL16" i="3" s="1"/>
  <c r="AL23" i="3" s="1"/>
  <c r="AJ19" i="3"/>
  <c r="AJ24" i="3" s="1"/>
  <c r="AK18" i="3"/>
  <c r="AD19" i="7"/>
  <c r="AD13" i="9"/>
  <c r="AF31" i="6"/>
  <c r="AF16" i="7" s="1"/>
  <c r="AF13" i="7"/>
  <c r="AH7" i="7" l="1"/>
  <c r="AH18" i="6"/>
  <c r="AH28" i="6" s="1"/>
  <c r="AH10" i="6"/>
  <c r="AH20" i="6"/>
  <c r="AH30" i="6" s="1"/>
  <c r="AH15" i="7" s="1"/>
  <c r="AM15" i="3"/>
  <c r="AM16" i="3" s="1"/>
  <c r="AM23" i="3" s="1"/>
  <c r="AF18" i="8"/>
  <c r="AF9" i="8"/>
  <c r="AF12" i="9" s="1"/>
  <c r="AG8" i="8"/>
  <c r="AG18" i="7"/>
  <c r="AG19" i="7" s="1"/>
  <c r="AF8" i="8"/>
  <c r="AF11" i="9" s="1"/>
  <c r="AF18" i="7"/>
  <c r="AK19" i="3"/>
  <c r="AK24" i="3" s="1"/>
  <c r="AL18" i="3"/>
  <c r="Z30" i="9"/>
  <c r="AA25" i="8"/>
  <c r="AA27" i="8" s="1"/>
  <c r="AB23" i="8"/>
  <c r="AN22" i="7"/>
  <c r="AN12" i="3"/>
  <c r="AO11" i="3"/>
  <c r="AB14" i="9"/>
  <c r="AB16" i="9" s="1"/>
  <c r="AB18" i="9" s="1"/>
  <c r="AB28" i="9" s="1"/>
  <c r="AB20" i="8"/>
  <c r="AI7" i="7"/>
  <c r="AI20" i="6"/>
  <c r="AI30" i="6" s="1"/>
  <c r="AI15" i="7" s="1"/>
  <c r="AI10" i="6"/>
  <c r="AI18" i="6"/>
  <c r="AI28" i="6" s="1"/>
  <c r="AE38" i="7"/>
  <c r="AE19" i="8" s="1"/>
  <c r="AG18" i="8"/>
  <c r="AG9" i="8"/>
  <c r="AG12" i="9" s="1"/>
  <c r="AK22" i="3"/>
  <c r="AL17" i="3"/>
  <c r="AC7" i="9"/>
  <c r="AC18" i="9" s="1"/>
  <c r="AC28" i="9" s="1"/>
  <c r="AC41" i="7"/>
  <c r="AJ25" i="3"/>
  <c r="AD35" i="7"/>
  <c r="AD38" i="7"/>
  <c r="AD40" i="7" s="1"/>
  <c r="AE40" i="7" l="1"/>
  <c r="AD7" i="9"/>
  <c r="AD41" i="7"/>
  <c r="AL19" i="3"/>
  <c r="AL24" i="3" s="1"/>
  <c r="AM18" i="3"/>
  <c r="AD19" i="8"/>
  <c r="AE14" i="9" s="1"/>
  <c r="AE16" i="9" s="1"/>
  <c r="AB25" i="8"/>
  <c r="AB27" i="8" s="1"/>
  <c r="AC23" i="8"/>
  <c r="AA29" i="9"/>
  <c r="AA30" i="9" s="1"/>
  <c r="Z7" i="8"/>
  <c r="Z10" i="8" s="1"/>
  <c r="Z15" i="8" s="1"/>
  <c r="Z29" i="8" s="1"/>
  <c r="AF37" i="7"/>
  <c r="AF34" i="7"/>
  <c r="AN15" i="3"/>
  <c r="AN16" i="3" s="1"/>
  <c r="AN23" i="3" s="1"/>
  <c r="AL22" i="3"/>
  <c r="AL25" i="3" s="1"/>
  <c r="AM17" i="3"/>
  <c r="AG13" i="9"/>
  <c r="AJ27" i="3"/>
  <c r="AJ30" i="3" s="1"/>
  <c r="AJ7" i="6" s="1"/>
  <c r="AJ31" i="3"/>
  <c r="AJ19" i="6" s="1"/>
  <c r="AJ29" i="6" s="1"/>
  <c r="AJ14" i="7" s="1"/>
  <c r="AG37" i="7"/>
  <c r="AG34" i="7"/>
  <c r="AG35" i="7" s="1"/>
  <c r="AO22" i="7"/>
  <c r="AO32" i="7" s="1"/>
  <c r="AP11" i="3"/>
  <c r="AO12" i="3"/>
  <c r="AF13" i="9"/>
  <c r="AF19" i="7"/>
  <c r="AK25" i="3"/>
  <c r="AE7" i="9"/>
  <c r="AE41" i="7"/>
  <c r="AI13" i="7"/>
  <c r="AI31" i="6"/>
  <c r="AI16" i="7" s="1"/>
  <c r="AI34" i="6"/>
  <c r="AI15" i="6"/>
  <c r="AI10" i="7"/>
  <c r="AI13" i="6"/>
  <c r="AI14" i="6"/>
  <c r="AH34" i="6"/>
  <c r="AH10" i="7"/>
  <c r="AH15" i="6"/>
  <c r="AH13" i="6"/>
  <c r="AH14" i="6"/>
  <c r="AN32" i="7"/>
  <c r="AG11" i="9"/>
  <c r="AE20" i="8"/>
  <c r="AH13" i="7"/>
  <c r="AH31" i="6"/>
  <c r="AH16" i="7" s="1"/>
  <c r="AE18" i="9" l="1"/>
  <c r="AE28" i="9" s="1"/>
  <c r="AK27" i="3"/>
  <c r="AK30" i="3" s="1"/>
  <c r="AK7" i="6" s="1"/>
  <c r="AK31" i="3"/>
  <c r="AK19" i="6" s="1"/>
  <c r="AK29" i="6" s="1"/>
  <c r="AK14" i="7" s="1"/>
  <c r="D14" i="1" s="1"/>
  <c r="AP22" i="7"/>
  <c r="AP32" i="7" s="1"/>
  <c r="AQ11" i="3"/>
  <c r="AP12" i="3"/>
  <c r="AG38" i="7"/>
  <c r="AG19" i="8" s="1"/>
  <c r="AF38" i="7"/>
  <c r="AF40" i="7" s="1"/>
  <c r="AA7" i="8"/>
  <c r="AA10" i="8" s="1"/>
  <c r="AA15" i="8" s="1"/>
  <c r="AA29" i="8" s="1"/>
  <c r="AB29" i="9"/>
  <c r="AB30" i="9" s="1"/>
  <c r="AO15" i="3"/>
  <c r="AO16" i="3" s="1"/>
  <c r="AO23" i="3" s="1"/>
  <c r="AH18" i="8"/>
  <c r="AH9" i="8"/>
  <c r="AH12" i="9" s="1"/>
  <c r="AM22" i="3"/>
  <c r="AN17" i="3"/>
  <c r="AF35" i="7"/>
  <c r="AH8" i="8"/>
  <c r="AH11" i="9" s="1"/>
  <c r="AH18" i="7"/>
  <c r="AH19" i="7" s="1"/>
  <c r="AC25" i="8"/>
  <c r="AC27" i="8" s="1"/>
  <c r="AD23" i="8"/>
  <c r="AI8" i="8"/>
  <c r="AI18" i="7"/>
  <c r="AM19" i="3"/>
  <c r="AM24" i="3" s="1"/>
  <c r="AN18" i="3"/>
  <c r="AI18" i="8"/>
  <c r="AI9" i="8"/>
  <c r="AJ10" i="6"/>
  <c r="AJ7" i="7"/>
  <c r="AJ20" i="6"/>
  <c r="AJ30" i="6" s="1"/>
  <c r="AJ15" i="7" s="1"/>
  <c r="AJ18" i="6"/>
  <c r="AJ28" i="6" s="1"/>
  <c r="AL31" i="3"/>
  <c r="AL19" i="6" s="1"/>
  <c r="AL29" i="6" s="1"/>
  <c r="AL14" i="7" s="1"/>
  <c r="AL27" i="3"/>
  <c r="AL30" i="3" s="1"/>
  <c r="AL7" i="6" s="1"/>
  <c r="AD14" i="9"/>
  <c r="AD16" i="9" s="1"/>
  <c r="AD18" i="9" s="1"/>
  <c r="AD28" i="9" s="1"/>
  <c r="AD20" i="8"/>
  <c r="AG40" i="7" l="1"/>
  <c r="AM25" i="3"/>
  <c r="AH13" i="9"/>
  <c r="AH37" i="7"/>
  <c r="AH34" i="7"/>
  <c r="AL7" i="7"/>
  <c r="AL10" i="6"/>
  <c r="AL20" i="6"/>
  <c r="AL30" i="6" s="1"/>
  <c r="AL15" i="7" s="1"/>
  <c r="AL18" i="6"/>
  <c r="AL28" i="6" s="1"/>
  <c r="AB7" i="8"/>
  <c r="AB10" i="8" s="1"/>
  <c r="AB15" i="8" s="1"/>
  <c r="AB29" i="8" s="1"/>
  <c r="AC29" i="9"/>
  <c r="AC30" i="9" s="1"/>
  <c r="AI12" i="9"/>
  <c r="AN19" i="3"/>
  <c r="AN24" i="3" s="1"/>
  <c r="AO18" i="3"/>
  <c r="AI34" i="7"/>
  <c r="AI35" i="7" s="1"/>
  <c r="AI37" i="7"/>
  <c r="AN22" i="3"/>
  <c r="AO17" i="3"/>
  <c r="AF19" i="8"/>
  <c r="AG14" i="9" s="1"/>
  <c r="AG16" i="9" s="1"/>
  <c r="AG7" i="9"/>
  <c r="AG41" i="7"/>
  <c r="AJ13" i="7"/>
  <c r="AJ31" i="6"/>
  <c r="AJ16" i="7" s="1"/>
  <c r="AF7" i="9"/>
  <c r="AF41" i="7"/>
  <c r="AJ34" i="6"/>
  <c r="AJ10" i="7"/>
  <c r="AJ15" i="6"/>
  <c r="AJ13" i="6"/>
  <c r="AJ14" i="6"/>
  <c r="AI13" i="9"/>
  <c r="AP15" i="3"/>
  <c r="AP16" i="3" s="1"/>
  <c r="AP23" i="3" s="1"/>
  <c r="AQ22" i="7"/>
  <c r="AR11" i="3"/>
  <c r="AQ12" i="3"/>
  <c r="AD25" i="8"/>
  <c r="AD27" i="8" s="1"/>
  <c r="AE23" i="8"/>
  <c r="AK7" i="7"/>
  <c r="D7" i="1" s="1"/>
  <c r="AK10" i="6"/>
  <c r="AK20" i="6"/>
  <c r="AK30" i="6" s="1"/>
  <c r="AK15" i="7" s="1"/>
  <c r="D15" i="1" s="1"/>
  <c r="AK18" i="6"/>
  <c r="AK28" i="6" s="1"/>
  <c r="AM31" i="3"/>
  <c r="AM19" i="6" s="1"/>
  <c r="AM29" i="6" s="1"/>
  <c r="AM14" i="7" s="1"/>
  <c r="AM27" i="3"/>
  <c r="AM30" i="3" s="1"/>
  <c r="AM7" i="6" s="1"/>
  <c r="AG20" i="8"/>
  <c r="AI19" i="7"/>
  <c r="AI11" i="9"/>
  <c r="AN25" i="3" l="1"/>
  <c r="AJ18" i="8"/>
  <c r="AJ9" i="8"/>
  <c r="AJ12" i="9" s="1"/>
  <c r="AG18" i="9"/>
  <c r="AG28" i="9" s="1"/>
  <c r="AJ8" i="8"/>
  <c r="AJ11" i="9" s="1"/>
  <c r="AJ18" i="7"/>
  <c r="AJ19" i="7" s="1"/>
  <c r="AO19" i="3"/>
  <c r="AO24" i="3" s="1"/>
  <c r="AP18" i="3"/>
  <c r="AO22" i="3"/>
  <c r="AP17" i="3"/>
  <c r="AQ15" i="3"/>
  <c r="AQ16" i="3" s="1"/>
  <c r="AQ23" i="3" s="1"/>
  <c r="AR22" i="7"/>
  <c r="AR32" i="7" s="1"/>
  <c r="AS11" i="3"/>
  <c r="AR12" i="3"/>
  <c r="AH35" i="7"/>
  <c r="AF14" i="9"/>
  <c r="AF16" i="9" s="1"/>
  <c r="AF18" i="9" s="1"/>
  <c r="AF28" i="9" s="1"/>
  <c r="AF20" i="8"/>
  <c r="AM7" i="7"/>
  <c r="AM10" i="6"/>
  <c r="AM18" i="6"/>
  <c r="AM28" i="6" s="1"/>
  <c r="AM20" i="6"/>
  <c r="AM30" i="6" s="1"/>
  <c r="AM15" i="7" s="1"/>
  <c r="AL13" i="7"/>
  <c r="AL31" i="6"/>
  <c r="AL16" i="7" s="1"/>
  <c r="AQ32" i="7"/>
  <c r="AH38" i="7"/>
  <c r="AH40" i="7" s="1"/>
  <c r="AN31" i="3"/>
  <c r="AN19" i="6" s="1"/>
  <c r="AN29" i="6" s="1"/>
  <c r="AN14" i="7" s="1"/>
  <c r="AN27" i="3"/>
  <c r="AN30" i="3" s="1"/>
  <c r="AN7" i="6" s="1"/>
  <c r="AI38" i="7"/>
  <c r="AI19" i="8" s="1"/>
  <c r="AK13" i="7"/>
  <c r="AK31" i="6"/>
  <c r="AK16" i="7" s="1"/>
  <c r="D16" i="1" s="1"/>
  <c r="AK34" i="6"/>
  <c r="AK10" i="7"/>
  <c r="AK14" i="6"/>
  <c r="AK15" i="6"/>
  <c r="AK13" i="6"/>
  <c r="AE25" i="8"/>
  <c r="AE27" i="8" s="1"/>
  <c r="AF23" i="8"/>
  <c r="AC7" i="8"/>
  <c r="AC10" i="8" s="1"/>
  <c r="AC15" i="8" s="1"/>
  <c r="AC29" i="8" s="1"/>
  <c r="AD29" i="9"/>
  <c r="AD30" i="9" s="1"/>
  <c r="AL10" i="7"/>
  <c r="AL34" i="6"/>
  <c r="AL14" i="6"/>
  <c r="AL15" i="6"/>
  <c r="AL13" i="6"/>
  <c r="AO25" i="3" l="1"/>
  <c r="AI40" i="7"/>
  <c r="AM13" i="7"/>
  <c r="AM31" i="6"/>
  <c r="AM16" i="7" s="1"/>
  <c r="AS22" i="7"/>
  <c r="AS32" i="7" s="1"/>
  <c r="AT11" i="3"/>
  <c r="AS12" i="3"/>
  <c r="AM10" i="7"/>
  <c r="AM34" i="6"/>
  <c r="AM14" i="6"/>
  <c r="AM13" i="6"/>
  <c r="AM15" i="6"/>
  <c r="AL18" i="8"/>
  <c r="AL9" i="8"/>
  <c r="AR15" i="3"/>
  <c r="AR16" i="3" s="1"/>
  <c r="AR23" i="3" s="1"/>
  <c r="AE29" i="9"/>
  <c r="AE30" i="9" s="1"/>
  <c r="AD7" i="8"/>
  <c r="AD10" i="8" s="1"/>
  <c r="AD15" i="8" s="1"/>
  <c r="AD29" i="8" s="1"/>
  <c r="AK18" i="8"/>
  <c r="AK9" i="8"/>
  <c r="AK12" i="9" s="1"/>
  <c r="D13" i="1"/>
  <c r="AF25" i="8"/>
  <c r="AF27" i="8" s="1"/>
  <c r="AG23" i="8"/>
  <c r="AL18" i="7"/>
  <c r="AL8" i="8"/>
  <c r="AQ17" i="3"/>
  <c r="AP22" i="3"/>
  <c r="AI7" i="9"/>
  <c r="AI41" i="7"/>
  <c r="AH19" i="8"/>
  <c r="AI14" i="9" s="1"/>
  <c r="AI16" i="9" s="1"/>
  <c r="AO31" i="3"/>
  <c r="AO19" i="6" s="1"/>
  <c r="AO29" i="6" s="1"/>
  <c r="AO14" i="7" s="1"/>
  <c r="AO27" i="3"/>
  <c r="AO30" i="3" s="1"/>
  <c r="AO7" i="6" s="1"/>
  <c r="AK18" i="7"/>
  <c r="AK19" i="7" s="1"/>
  <c r="AK8" i="8"/>
  <c r="AK11" i="9" s="1"/>
  <c r="D10" i="1"/>
  <c r="AQ18" i="3"/>
  <c r="AP19" i="3"/>
  <c r="AP24" i="3" s="1"/>
  <c r="AJ34" i="7"/>
  <c r="AJ35" i="7" s="1"/>
  <c r="AJ37" i="7"/>
  <c r="AN7" i="7"/>
  <c r="AN10" i="6"/>
  <c r="AN20" i="6"/>
  <c r="AN30" i="6" s="1"/>
  <c r="AN15" i="7" s="1"/>
  <c r="AN18" i="6"/>
  <c r="AN28" i="6" s="1"/>
  <c r="AI20" i="8"/>
  <c r="AH7" i="9"/>
  <c r="AH41" i="7"/>
  <c r="AJ13" i="9"/>
  <c r="AL11" i="9" l="1"/>
  <c r="AL34" i="7"/>
  <c r="AL37" i="7"/>
  <c r="AN13" i="6"/>
  <c r="AN10" i="7"/>
  <c r="AN34" i="6"/>
  <c r="AN14" i="6"/>
  <c r="AN15" i="6"/>
  <c r="AH23" i="8"/>
  <c r="AG25" i="8"/>
  <c r="AG27" i="8" s="1"/>
  <c r="AK13" i="9"/>
  <c r="AJ38" i="7"/>
  <c r="AJ19" i="8" s="1"/>
  <c r="D43" i="1"/>
  <c r="AT22" i="7"/>
  <c r="AT32" i="7" s="1"/>
  <c r="AU11" i="3"/>
  <c r="AT12" i="3"/>
  <c r="AL19" i="7"/>
  <c r="AF29" i="9"/>
  <c r="AF30" i="9" s="1"/>
  <c r="AE7" i="8"/>
  <c r="AE10" i="8" s="1"/>
  <c r="AE15" i="8" s="1"/>
  <c r="AE29" i="8" s="1"/>
  <c r="AL12" i="9"/>
  <c r="AK34" i="7"/>
  <c r="AK37" i="7"/>
  <c r="D18" i="1"/>
  <c r="D19" i="1" s="1"/>
  <c r="AM18" i="7"/>
  <c r="AM19" i="7" s="1"/>
  <c r="AM8" i="8"/>
  <c r="AM11" i="9" s="1"/>
  <c r="AH14" i="9"/>
  <c r="AH16" i="9" s="1"/>
  <c r="AH18" i="9" s="1"/>
  <c r="AH28" i="9" s="1"/>
  <c r="AH20" i="8"/>
  <c r="AP25" i="3"/>
  <c r="AM18" i="8"/>
  <c r="AM9" i="8"/>
  <c r="AM12" i="9" s="1"/>
  <c r="AR18" i="3"/>
  <c r="AQ19" i="3"/>
  <c r="AQ24" i="3" s="1"/>
  <c r="AO7" i="7"/>
  <c r="AO18" i="6"/>
  <c r="AO28" i="6" s="1"/>
  <c r="AO10" i="6"/>
  <c r="AO20" i="6"/>
  <c r="AO30" i="6" s="1"/>
  <c r="AO15" i="7" s="1"/>
  <c r="AN13" i="7"/>
  <c r="AN31" i="6"/>
  <c r="AN16" i="7" s="1"/>
  <c r="AL13" i="9"/>
  <c r="AS15" i="3"/>
  <c r="AS16" i="3" s="1"/>
  <c r="AS23" i="3" s="1"/>
  <c r="AI18" i="9"/>
  <c r="AI28" i="9" s="1"/>
  <c r="AQ22" i="3"/>
  <c r="AR17" i="3"/>
  <c r="AQ25" i="3" l="1"/>
  <c r="AU22" i="7"/>
  <c r="AU32" i="7" s="1"/>
  <c r="AV11" i="3"/>
  <c r="AU12" i="3"/>
  <c r="AG29" i="9"/>
  <c r="AG30" i="9" s="1"/>
  <c r="AF7" i="8"/>
  <c r="AF10" i="8" s="1"/>
  <c r="AF15" i="8" s="1"/>
  <c r="AF29" i="8" s="1"/>
  <c r="AQ31" i="3"/>
  <c r="AQ19" i="6" s="1"/>
  <c r="AQ29" i="6" s="1"/>
  <c r="AQ14" i="7" s="1"/>
  <c r="AQ27" i="3"/>
  <c r="AQ30" i="3" s="1"/>
  <c r="AQ7" i="6" s="1"/>
  <c r="AO31" i="6"/>
  <c r="AO16" i="7" s="1"/>
  <c r="AO13" i="7"/>
  <c r="AI23" i="8"/>
  <c r="AH25" i="8"/>
  <c r="AH27" i="8" s="1"/>
  <c r="AJ14" i="9"/>
  <c r="AJ16" i="9" s="1"/>
  <c r="AJ20" i="8"/>
  <c r="AN18" i="8"/>
  <c r="AN9" i="8"/>
  <c r="AN12" i="9" s="1"/>
  <c r="AJ40" i="7"/>
  <c r="AS18" i="3"/>
  <c r="AR19" i="3"/>
  <c r="AR24" i="3" s="1"/>
  <c r="AP31" i="3"/>
  <c r="AP19" i="6" s="1"/>
  <c r="AP29" i="6" s="1"/>
  <c r="AP14" i="7" s="1"/>
  <c r="AP27" i="3"/>
  <c r="AP30" i="3" s="1"/>
  <c r="AP7" i="6" s="1"/>
  <c r="AR22" i="3"/>
  <c r="AS17" i="3"/>
  <c r="AM13" i="9"/>
  <c r="AT15" i="3"/>
  <c r="AT16" i="3" s="1"/>
  <c r="AT23" i="3" s="1"/>
  <c r="AK38" i="7"/>
  <c r="AK40" i="7" s="1"/>
  <c r="D36" i="1"/>
  <c r="D33" i="1"/>
  <c r="AK35" i="7"/>
  <c r="AO13" i="6"/>
  <c r="AO10" i="7"/>
  <c r="AO34" i="6"/>
  <c r="AO14" i="6"/>
  <c r="AO15" i="6"/>
  <c r="AN18" i="7"/>
  <c r="AN19" i="7" s="1"/>
  <c r="AN8" i="8"/>
  <c r="AN11" i="9" s="1"/>
  <c r="AM37" i="7"/>
  <c r="AM34" i="7"/>
  <c r="AM35" i="7" s="1"/>
  <c r="AL38" i="7"/>
  <c r="AL35" i="7"/>
  <c r="AR25" i="3" l="1"/>
  <c r="AK7" i="9"/>
  <c r="D39" i="1"/>
  <c r="AK41" i="7"/>
  <c r="AS22" i="3"/>
  <c r="AT17" i="3"/>
  <c r="AL19" i="8"/>
  <c r="AL40" i="7"/>
  <c r="AP7" i="7"/>
  <c r="AP20" i="6"/>
  <c r="AP30" i="6" s="1"/>
  <c r="AP15" i="7" s="1"/>
  <c r="AP10" i="6"/>
  <c r="AP18" i="6"/>
  <c r="AP28" i="6" s="1"/>
  <c r="AT18" i="3"/>
  <c r="AS19" i="3"/>
  <c r="AS24" i="3" s="1"/>
  <c r="AM38" i="7"/>
  <c r="AM19" i="8" s="1"/>
  <c r="AR31" i="3"/>
  <c r="AR19" i="6" s="1"/>
  <c r="AR29" i="6" s="1"/>
  <c r="AR14" i="7" s="1"/>
  <c r="AR27" i="3"/>
  <c r="AR30" i="3" s="1"/>
  <c r="AR7" i="6" s="1"/>
  <c r="AJ7" i="9"/>
  <c r="AJ18" i="9" s="1"/>
  <c r="AJ28" i="9" s="1"/>
  <c r="AJ41" i="7"/>
  <c r="AJ23" i="8"/>
  <c r="AI25" i="8"/>
  <c r="AI27" i="8" s="1"/>
  <c r="AN37" i="7"/>
  <c r="AN34" i="7"/>
  <c r="AO18" i="7"/>
  <c r="AO19" i="7" s="1"/>
  <c r="AO8" i="8"/>
  <c r="AO11" i="9" s="1"/>
  <c r="AO18" i="8"/>
  <c r="AO9" i="8"/>
  <c r="AO12" i="9" s="1"/>
  <c r="AQ7" i="7"/>
  <c r="AQ20" i="6"/>
  <c r="AQ30" i="6" s="1"/>
  <c r="AQ15" i="7" s="1"/>
  <c r="AQ18" i="6"/>
  <c r="AQ28" i="6" s="1"/>
  <c r="AQ10" i="6"/>
  <c r="AU15" i="3"/>
  <c r="AU16" i="3" s="1"/>
  <c r="AU23" i="3" s="1"/>
  <c r="AV22" i="7"/>
  <c r="AV32" i="7" s="1"/>
  <c r="AV12" i="3"/>
  <c r="AW11" i="3"/>
  <c r="AN13" i="9"/>
  <c r="AH29" i="9"/>
  <c r="AH30" i="9" s="1"/>
  <c r="AG7" i="8"/>
  <c r="AG10" i="8" s="1"/>
  <c r="AG15" i="8" s="1"/>
  <c r="AG29" i="8" s="1"/>
  <c r="D34" i="1"/>
  <c r="AK19" i="8"/>
  <c r="D37" i="1"/>
  <c r="AN35" i="7" l="1"/>
  <c r="AO37" i="7"/>
  <c r="AO34" i="7"/>
  <c r="AO35" i="7" s="1"/>
  <c r="AK23" i="8"/>
  <c r="AJ25" i="8"/>
  <c r="AJ27" i="8" s="1"/>
  <c r="AK14" i="9"/>
  <c r="AK16" i="9" s="1"/>
  <c r="AK20" i="8"/>
  <c r="AR7" i="7"/>
  <c r="AR20" i="6"/>
  <c r="AR30" i="6" s="1"/>
  <c r="AR15" i="7" s="1"/>
  <c r="AR18" i="6"/>
  <c r="AR28" i="6" s="1"/>
  <c r="AR10" i="6"/>
  <c r="AN38" i="7"/>
  <c r="AN19" i="8" s="1"/>
  <c r="AM40" i="7"/>
  <c r="AP31" i="6"/>
  <c r="AP16" i="7" s="1"/>
  <c r="AP13" i="7"/>
  <c r="AO13" i="9"/>
  <c r="AM14" i="9"/>
  <c r="AM16" i="9" s="1"/>
  <c r="AM20" i="8"/>
  <c r="AU18" i="3"/>
  <c r="AT19" i="3"/>
  <c r="AT24" i="3" s="1"/>
  <c r="AV15" i="3"/>
  <c r="AV16" i="3" s="1"/>
  <c r="AV23" i="3" s="1"/>
  <c r="AL7" i="9"/>
  <c r="AL41" i="7"/>
  <c r="AQ13" i="7"/>
  <c r="AQ31" i="6"/>
  <c r="AQ16" i="7" s="1"/>
  <c r="AT22" i="3"/>
  <c r="AU17" i="3"/>
  <c r="D44" i="1"/>
  <c r="D40" i="1"/>
  <c r="AI29" i="9"/>
  <c r="AI30" i="9" s="1"/>
  <c r="AH7" i="8"/>
  <c r="AH10" i="8" s="1"/>
  <c r="AH15" i="8" s="1"/>
  <c r="AH29" i="8" s="1"/>
  <c r="AW22" i="7"/>
  <c r="AW12" i="3"/>
  <c r="AX11" i="3"/>
  <c r="AP13" i="6"/>
  <c r="AP34" i="6"/>
  <c r="AP15" i="6"/>
  <c r="AP10" i="7"/>
  <c r="AP14" i="6"/>
  <c r="AQ13" i="6"/>
  <c r="AQ34" i="6"/>
  <c r="AQ10" i="7"/>
  <c r="AQ14" i="6"/>
  <c r="AQ15" i="6"/>
  <c r="AL14" i="9"/>
  <c r="AL16" i="9" s="1"/>
  <c r="AL20" i="8"/>
  <c r="AS25" i="3"/>
  <c r="AK18" i="9"/>
  <c r="AK28" i="9" s="1"/>
  <c r="AL18" i="9" l="1"/>
  <c r="AL28" i="9" s="1"/>
  <c r="AS31" i="3"/>
  <c r="AS19" i="6" s="1"/>
  <c r="AS29" i="6" s="1"/>
  <c r="AS14" i="7" s="1"/>
  <c r="AS27" i="3"/>
  <c r="AS30" i="3" s="1"/>
  <c r="AS7" i="6" s="1"/>
  <c r="AV18" i="3"/>
  <c r="AU19" i="3"/>
  <c r="AU24" i="3" s="1"/>
  <c r="AN14" i="9"/>
  <c r="AN16" i="9" s="1"/>
  <c r="AN20" i="8"/>
  <c r="AR13" i="6"/>
  <c r="AR14" i="6"/>
  <c r="AR34" i="6"/>
  <c r="AR15" i="6"/>
  <c r="AR10" i="7"/>
  <c r="AW32" i="7"/>
  <c r="E31" i="1" s="1"/>
  <c r="E22" i="1"/>
  <c r="AP18" i="7"/>
  <c r="AP19" i="7" s="1"/>
  <c r="AP8" i="8"/>
  <c r="AP11" i="9" s="1"/>
  <c r="AN40" i="7"/>
  <c r="AW15" i="3"/>
  <c r="AW16" i="3" s="1"/>
  <c r="AW23" i="3" s="1"/>
  <c r="AO38" i="7"/>
  <c r="AO40" i="7" s="1"/>
  <c r="AQ18" i="7"/>
  <c r="AQ19" i="7" s="1"/>
  <c r="AQ8" i="8"/>
  <c r="AX22" i="7"/>
  <c r="AY11" i="3"/>
  <c r="AX12" i="3"/>
  <c r="AJ29" i="9"/>
  <c r="AJ30" i="9" s="1"/>
  <c r="AI7" i="8"/>
  <c r="AI10" i="8" s="1"/>
  <c r="AI15" i="8" s="1"/>
  <c r="AI29" i="8" s="1"/>
  <c r="AK25" i="8"/>
  <c r="AK27" i="8" s="1"/>
  <c r="AL23" i="8"/>
  <c r="AQ9" i="8"/>
  <c r="AQ18" i="8"/>
  <c r="AP9" i="8"/>
  <c r="AP12" i="9" s="1"/>
  <c r="AP18" i="8"/>
  <c r="AM7" i="9"/>
  <c r="AM18" i="9" s="1"/>
  <c r="AM28" i="9" s="1"/>
  <c r="AM41" i="7"/>
  <c r="AR13" i="7"/>
  <c r="AR31" i="6"/>
  <c r="AR16" i="7" s="1"/>
  <c r="AU22" i="3"/>
  <c r="AV17" i="3"/>
  <c r="AT25" i="3"/>
  <c r="AU25" i="3" l="1"/>
  <c r="AQ11" i="9"/>
  <c r="AO7" i="9"/>
  <c r="AO41" i="7"/>
  <c r="AQ37" i="7"/>
  <c r="AQ34" i="7"/>
  <c r="AQ35" i="7" s="1"/>
  <c r="AN7" i="9"/>
  <c r="AN18" i="9" s="1"/>
  <c r="AN28" i="9" s="1"/>
  <c r="AN41" i="7"/>
  <c r="AW17" i="3"/>
  <c r="AV22" i="3"/>
  <c r="AQ12" i="9"/>
  <c r="AO19" i="8"/>
  <c r="AR9" i="8"/>
  <c r="AR12" i="9" s="1"/>
  <c r="AR18" i="8"/>
  <c r="AP13" i="9"/>
  <c r="AQ13" i="9"/>
  <c r="AS7" i="7"/>
  <c r="AS20" i="6"/>
  <c r="AS30" i="6" s="1"/>
  <c r="AS15" i="7" s="1"/>
  <c r="AS18" i="6"/>
  <c r="AS28" i="6" s="1"/>
  <c r="AS10" i="6"/>
  <c r="AP37" i="7"/>
  <c r="AP34" i="7"/>
  <c r="AL25" i="8"/>
  <c r="AL27" i="8" s="1"/>
  <c r="AM23" i="8"/>
  <c r="AX32" i="7"/>
  <c r="AT31" i="3"/>
  <c r="AT19" i="6" s="1"/>
  <c r="AT29" i="6" s="1"/>
  <c r="AT14" i="7" s="1"/>
  <c r="AT27" i="3"/>
  <c r="AT30" i="3" s="1"/>
  <c r="AT7" i="6" s="1"/>
  <c r="AU31" i="3"/>
  <c r="AU19" i="6" s="1"/>
  <c r="AU29" i="6" s="1"/>
  <c r="AU14" i="7" s="1"/>
  <c r="AU27" i="3"/>
  <c r="AU30" i="3" s="1"/>
  <c r="AU7" i="6" s="1"/>
  <c r="AR18" i="7"/>
  <c r="AR8" i="8"/>
  <c r="AR11" i="9" s="1"/>
  <c r="AK29" i="9"/>
  <c r="AK30" i="9" s="1"/>
  <c r="AJ7" i="8"/>
  <c r="AJ10" i="8" s="1"/>
  <c r="AJ15" i="8" s="1"/>
  <c r="AJ29" i="8" s="1"/>
  <c r="AX15" i="3"/>
  <c r="AX16" i="3" s="1"/>
  <c r="AX23" i="3" s="1"/>
  <c r="AW18" i="3"/>
  <c r="AV19" i="3"/>
  <c r="AV24" i="3" s="1"/>
  <c r="AY22" i="7"/>
  <c r="AY32" i="7" s="1"/>
  <c r="AY12" i="3"/>
  <c r="AZ11" i="3"/>
  <c r="AS13" i="7" l="1"/>
  <c r="AS31" i="6"/>
  <c r="AS16" i="7" s="1"/>
  <c r="AM25" i="8"/>
  <c r="AM27" i="8" s="1"/>
  <c r="AN23" i="8"/>
  <c r="AP38" i="7"/>
  <c r="AR37" i="7"/>
  <c r="AR34" i="7"/>
  <c r="AR35" i="7" s="1"/>
  <c r="AR19" i="7"/>
  <c r="AQ38" i="7"/>
  <c r="AQ19" i="8" s="1"/>
  <c r="AS10" i="7"/>
  <c r="AS14" i="6"/>
  <c r="AS34" i="6"/>
  <c r="AS15" i="6"/>
  <c r="AS13" i="6"/>
  <c r="AY15" i="3"/>
  <c r="AY16" i="3" s="1"/>
  <c r="AY23" i="3" s="1"/>
  <c r="AR13" i="9"/>
  <c r="AO14" i="9"/>
  <c r="AO16" i="9" s="1"/>
  <c r="AO18" i="9" s="1"/>
  <c r="AO28" i="9" s="1"/>
  <c r="AO20" i="8"/>
  <c r="AV25" i="3"/>
  <c r="AP35" i="7"/>
  <c r="AZ22" i="7"/>
  <c r="AZ12" i="3"/>
  <c r="BA11" i="3"/>
  <c r="AT7" i="7"/>
  <c r="AT20" i="6"/>
  <c r="AT30" i="6" s="1"/>
  <c r="AT15" i="7" s="1"/>
  <c r="AT18" i="6"/>
  <c r="AT28" i="6" s="1"/>
  <c r="AT10" i="6"/>
  <c r="AX18" i="3"/>
  <c r="AW19" i="3"/>
  <c r="AW24" i="3" s="1"/>
  <c r="AL29" i="9"/>
  <c r="AL30" i="9" s="1"/>
  <c r="AK7" i="8"/>
  <c r="AK10" i="8" s="1"/>
  <c r="AK15" i="8" s="1"/>
  <c r="AK29" i="8" s="1"/>
  <c r="AW22" i="3"/>
  <c r="AX17" i="3"/>
  <c r="AU7" i="7"/>
  <c r="AU20" i="6"/>
  <c r="AU30" i="6" s="1"/>
  <c r="AU15" i="7" s="1"/>
  <c r="AU18" i="6"/>
  <c r="AU28" i="6" s="1"/>
  <c r="AU10" i="6"/>
  <c r="AQ40" i="7" l="1"/>
  <c r="AQ7" i="9" s="1"/>
  <c r="AW25" i="3"/>
  <c r="AW31" i="3" s="1"/>
  <c r="AW19" i="6" s="1"/>
  <c r="AW29" i="6" s="1"/>
  <c r="AW14" i="7" s="1"/>
  <c r="AT10" i="7"/>
  <c r="AT14" i="6"/>
  <c r="AT34" i="6"/>
  <c r="AT13" i="6"/>
  <c r="AT15" i="6"/>
  <c r="AZ32" i="7"/>
  <c r="AU10" i="7"/>
  <c r="AU14" i="6"/>
  <c r="AU34" i="6"/>
  <c r="AU15" i="6"/>
  <c r="AU13" i="6"/>
  <c r="AU13" i="7"/>
  <c r="AU31" i="6"/>
  <c r="AU16" i="7" s="1"/>
  <c r="AY17" i="3"/>
  <c r="AX22" i="3"/>
  <c r="AT13" i="7"/>
  <c r="AT31" i="6"/>
  <c r="AT16" i="7" s="1"/>
  <c r="AS9" i="8"/>
  <c r="AS12" i="9" s="1"/>
  <c r="AS18" i="8"/>
  <c r="BA22" i="7"/>
  <c r="BA32" i="7" s="1"/>
  <c r="BB11" i="3"/>
  <c r="BA12" i="3"/>
  <c r="AV31" i="3"/>
  <c r="AV19" i="6" s="1"/>
  <c r="AV29" i="6" s="1"/>
  <c r="AV14" i="7" s="1"/>
  <c r="AV27" i="3"/>
  <c r="AV30" i="3" s="1"/>
  <c r="AV7" i="6" s="1"/>
  <c r="AQ20" i="8"/>
  <c r="AR38" i="7"/>
  <c r="AR19" i="8" s="1"/>
  <c r="AP19" i="8"/>
  <c r="AQ14" i="9" s="1"/>
  <c r="AQ16" i="9" s="1"/>
  <c r="AN25" i="8"/>
  <c r="AN27" i="8" s="1"/>
  <c r="AO23" i="8"/>
  <c r="AY18" i="3"/>
  <c r="AX19" i="3"/>
  <c r="AX24" i="3" s="1"/>
  <c r="AZ15" i="3"/>
  <c r="AZ16" i="3" s="1"/>
  <c r="AZ23" i="3" s="1"/>
  <c r="AS18" i="7"/>
  <c r="AS19" i="7" s="1"/>
  <c r="AS8" i="8"/>
  <c r="AS11" i="9" s="1"/>
  <c r="AM29" i="9"/>
  <c r="AM30" i="9" s="1"/>
  <c r="AL7" i="8"/>
  <c r="AL10" i="8" s="1"/>
  <c r="AL15" i="8" s="1"/>
  <c r="AL29" i="8" s="1"/>
  <c r="AP40" i="7"/>
  <c r="AX25" i="3" l="1"/>
  <c r="AW27" i="3"/>
  <c r="AW30" i="3" s="1"/>
  <c r="AW7" i="6" s="1"/>
  <c r="AW10" i="6" s="1"/>
  <c r="AQ41" i="7"/>
  <c r="AR40" i="7"/>
  <c r="AR41" i="7" s="1"/>
  <c r="AV7" i="7"/>
  <c r="AV20" i="6"/>
  <c r="AV30" i="6" s="1"/>
  <c r="AV15" i="7" s="1"/>
  <c r="AV18" i="6"/>
  <c r="AV28" i="6" s="1"/>
  <c r="AV10" i="6"/>
  <c r="BB22" i="7"/>
  <c r="BB32" i="7" s="1"/>
  <c r="BC11" i="3"/>
  <c r="BB12" i="3"/>
  <c r="AS13" i="9"/>
  <c r="AZ17" i="3"/>
  <c r="AY22" i="3"/>
  <c r="AU9" i="8"/>
  <c r="AU18" i="8"/>
  <c r="AU8" i="8"/>
  <c r="AU18" i="7"/>
  <c r="AZ18" i="3"/>
  <c r="AY19" i="3"/>
  <c r="AY24" i="3" s="1"/>
  <c r="AP14" i="9"/>
  <c r="AP16" i="9" s="1"/>
  <c r="AP20" i="8"/>
  <c r="BA15" i="3"/>
  <c r="BA16" i="3" s="1"/>
  <c r="BA23" i="3" s="1"/>
  <c r="AP7" i="9"/>
  <c r="AP41" i="7"/>
  <c r="AT9" i="8"/>
  <c r="AT12" i="9" s="1"/>
  <c r="AT18" i="8"/>
  <c r="AX27" i="3"/>
  <c r="AX30" i="3" s="1"/>
  <c r="AX7" i="6" s="1"/>
  <c r="AX31" i="3"/>
  <c r="AX19" i="6" s="1"/>
  <c r="AX29" i="6" s="1"/>
  <c r="AX14" i="7" s="1"/>
  <c r="AW7" i="7"/>
  <c r="E7" i="1" s="1"/>
  <c r="AW20" i="6"/>
  <c r="AW30" i="6" s="1"/>
  <c r="AW15" i="7" s="1"/>
  <c r="E15" i="1" s="1"/>
  <c r="AW18" i="6"/>
  <c r="AW28" i="6" s="1"/>
  <c r="AS37" i="7"/>
  <c r="AS34" i="7"/>
  <c r="AR14" i="9"/>
  <c r="AR16" i="9" s="1"/>
  <c r="AR20" i="8"/>
  <c r="AQ18" i="9"/>
  <c r="AQ28" i="9" s="1"/>
  <c r="AN29" i="9"/>
  <c r="AN30" i="9" s="1"/>
  <c r="AM7" i="8"/>
  <c r="AM10" i="8" s="1"/>
  <c r="AM15" i="8" s="1"/>
  <c r="AM29" i="8" s="1"/>
  <c r="AP23" i="8"/>
  <c r="AO25" i="8"/>
  <c r="AO27" i="8" s="1"/>
  <c r="AT8" i="8"/>
  <c r="AT11" i="9" s="1"/>
  <c r="AT18" i="7"/>
  <c r="E14" i="1"/>
  <c r="AR7" i="9" l="1"/>
  <c r="AP18" i="9"/>
  <c r="AP28" i="9" s="1"/>
  <c r="AX7" i="7"/>
  <c r="AX10" i="6"/>
  <c r="AX20" i="6"/>
  <c r="AX30" i="6" s="1"/>
  <c r="AX15" i="7" s="1"/>
  <c r="AX18" i="6"/>
  <c r="AX28" i="6" s="1"/>
  <c r="AT13" i="9"/>
  <c r="AT37" i="7"/>
  <c r="AT34" i="7"/>
  <c r="AT35" i="7" s="1"/>
  <c r="AT19" i="7"/>
  <c r="AU37" i="7"/>
  <c r="AU34" i="7"/>
  <c r="AU35" i="7" s="1"/>
  <c r="AU19" i="7"/>
  <c r="AZ22" i="3"/>
  <c r="BA17" i="3"/>
  <c r="AS38" i="7"/>
  <c r="AS40" i="7" s="1"/>
  <c r="AW10" i="7"/>
  <c r="AW34" i="6"/>
  <c r="AW15" i="6"/>
  <c r="AW14" i="6"/>
  <c r="AW13" i="6"/>
  <c r="BA18" i="3"/>
  <c r="AZ19" i="3"/>
  <c r="AZ24" i="3" s="1"/>
  <c r="AO29" i="9"/>
  <c r="AO30" i="9" s="1"/>
  <c r="AN7" i="8"/>
  <c r="AN10" i="8" s="1"/>
  <c r="AN15" i="8" s="1"/>
  <c r="AN29" i="8" s="1"/>
  <c r="AU12" i="9"/>
  <c r="BC22" i="7"/>
  <c r="BD11" i="3"/>
  <c r="BC12" i="3"/>
  <c r="AV13" i="7"/>
  <c r="AV31" i="6"/>
  <c r="AV16" i="7" s="1"/>
  <c r="AQ23" i="8"/>
  <c r="AP25" i="8"/>
  <c r="AP27" i="8" s="1"/>
  <c r="AY25" i="3"/>
  <c r="AU11" i="9"/>
  <c r="AU13" i="9"/>
  <c r="AS35" i="7"/>
  <c r="BB15" i="3"/>
  <c r="BB16" i="3" s="1"/>
  <c r="BB23" i="3" s="1"/>
  <c r="AR18" i="9"/>
  <c r="AR28" i="9" s="1"/>
  <c r="AV10" i="7"/>
  <c r="AV14" i="6"/>
  <c r="AV34" i="6"/>
  <c r="AV15" i="6"/>
  <c r="AV13" i="6"/>
  <c r="AW13" i="7"/>
  <c r="AW31" i="6"/>
  <c r="AW16" i="7" s="1"/>
  <c r="E16" i="1" l="1"/>
  <c r="BC32" i="7"/>
  <c r="BD22" i="7"/>
  <c r="BD32" i="7" s="1"/>
  <c r="BE11" i="3"/>
  <c r="BD12" i="3"/>
  <c r="AP29" i="9"/>
  <c r="AP30" i="9" s="1"/>
  <c r="AO7" i="8"/>
  <c r="AO10" i="8" s="1"/>
  <c r="AO15" i="8" s="1"/>
  <c r="AO29" i="8" s="1"/>
  <c r="BA19" i="3"/>
  <c r="BA24" i="3" s="1"/>
  <c r="BB18" i="3"/>
  <c r="AS7" i="9"/>
  <c r="AS41" i="7"/>
  <c r="BA22" i="3"/>
  <c r="BA25" i="3" s="1"/>
  <c r="BB17" i="3"/>
  <c r="AT38" i="7"/>
  <c r="AT19" i="8" s="1"/>
  <c r="AX10" i="7"/>
  <c r="AX34" i="6"/>
  <c r="AX15" i="6"/>
  <c r="AX14" i="6"/>
  <c r="AX13" i="6"/>
  <c r="AW8" i="8"/>
  <c r="AW11" i="9" s="1"/>
  <c r="AW18" i="7"/>
  <c r="E10" i="1"/>
  <c r="AS19" i="8"/>
  <c r="AU38" i="7"/>
  <c r="AU19" i="8" s="1"/>
  <c r="AY27" i="3"/>
  <c r="AY30" i="3" s="1"/>
  <c r="AY7" i="6" s="1"/>
  <c r="AY31" i="3"/>
  <c r="AY19" i="6" s="1"/>
  <c r="AY29" i="6" s="1"/>
  <c r="AY14" i="7" s="1"/>
  <c r="AX13" i="7"/>
  <c r="AX31" i="6"/>
  <c r="AX16" i="7" s="1"/>
  <c r="AV9" i="8"/>
  <c r="AV12" i="9" s="1"/>
  <c r="AV18" i="8"/>
  <c r="AW9" i="8"/>
  <c r="AW18" i="8"/>
  <c r="E13" i="1"/>
  <c r="AV8" i="8"/>
  <c r="AV11" i="9" s="1"/>
  <c r="AV18" i="7"/>
  <c r="AV19" i="7" s="1"/>
  <c r="AZ25" i="3"/>
  <c r="AR23" i="8"/>
  <c r="AQ25" i="8"/>
  <c r="AQ27" i="8" s="1"/>
  <c r="BC15" i="3"/>
  <c r="BC16" i="3" s="1"/>
  <c r="BC23" i="3" s="1"/>
  <c r="AU40" i="7" l="1"/>
  <c r="AT40" i="7"/>
  <c r="AW12" i="9"/>
  <c r="AS14" i="9"/>
  <c r="AS16" i="9" s="1"/>
  <c r="AS20" i="8"/>
  <c r="AW37" i="7"/>
  <c r="AW34" i="7"/>
  <c r="E18" i="1"/>
  <c r="E19" i="1" s="1"/>
  <c r="AS23" i="8"/>
  <c r="AR25" i="8"/>
  <c r="AR27" i="8" s="1"/>
  <c r="AU14" i="9"/>
  <c r="AU16" i="9" s="1"/>
  <c r="AU20" i="8"/>
  <c r="AT7" i="9"/>
  <c r="AT41" i="7"/>
  <c r="BA31" i="3"/>
  <c r="BA19" i="6" s="1"/>
  <c r="BA29" i="6" s="1"/>
  <c r="BA14" i="7" s="1"/>
  <c r="BA27" i="3"/>
  <c r="BA30" i="3" s="1"/>
  <c r="BA7" i="6" s="1"/>
  <c r="AS18" i="9"/>
  <c r="AS28" i="9" s="1"/>
  <c r="BE22" i="7"/>
  <c r="BE12" i="3"/>
  <c r="BF11" i="3"/>
  <c r="AW19" i="7"/>
  <c r="AZ31" i="3"/>
  <c r="AZ19" i="6" s="1"/>
  <c r="AZ29" i="6" s="1"/>
  <c r="AZ14" i="7" s="1"/>
  <c r="AZ27" i="3"/>
  <c r="AZ30" i="3" s="1"/>
  <c r="AZ7" i="6" s="1"/>
  <c r="AU7" i="9"/>
  <c r="AU18" i="9" s="1"/>
  <c r="AU28" i="9" s="1"/>
  <c r="AU41" i="7"/>
  <c r="AX8" i="8"/>
  <c r="AX11" i="9" s="1"/>
  <c r="AX18" i="7"/>
  <c r="AX19" i="7" s="1"/>
  <c r="AV34" i="7"/>
  <c r="AV35" i="7" s="1"/>
  <c r="AV37" i="7"/>
  <c r="BC18" i="3"/>
  <c r="BB19" i="3"/>
  <c r="BB24" i="3" s="1"/>
  <c r="E43" i="1"/>
  <c r="BC17" i="3"/>
  <c r="BB22" i="3"/>
  <c r="AW13" i="9"/>
  <c r="AV13" i="9"/>
  <c r="AT14" i="9"/>
  <c r="AT16" i="9" s="1"/>
  <c r="AT20" i="8"/>
  <c r="AQ29" i="9"/>
  <c r="AQ30" i="9" s="1"/>
  <c r="AP7" i="8"/>
  <c r="AP10" i="8" s="1"/>
  <c r="AP15" i="8" s="1"/>
  <c r="AP29" i="8" s="1"/>
  <c r="BD15" i="3"/>
  <c r="BD16" i="3" s="1"/>
  <c r="BD23" i="3" s="1"/>
  <c r="AX18" i="8"/>
  <c r="AX9" i="8"/>
  <c r="AX12" i="9" s="1"/>
  <c r="AY7" i="7"/>
  <c r="AY10" i="6"/>
  <c r="AY20" i="6"/>
  <c r="AY30" i="6" s="1"/>
  <c r="AY15" i="7" s="1"/>
  <c r="AY18" i="6"/>
  <c r="AY28" i="6" s="1"/>
  <c r="BB25" i="3" l="1"/>
  <c r="AY31" i="6"/>
  <c r="AY16" i="7" s="1"/>
  <c r="AY13" i="7"/>
  <c r="AV38" i="7"/>
  <c r="AV19" i="8" s="1"/>
  <c r="AY10" i="7"/>
  <c r="AY15" i="6"/>
  <c r="AY14" i="6"/>
  <c r="AY34" i="6"/>
  <c r="AY13" i="6"/>
  <c r="AX37" i="7"/>
  <c r="AX34" i="7"/>
  <c r="AX13" i="9"/>
  <c r="AR29" i="9"/>
  <c r="AR30" i="9" s="1"/>
  <c r="AQ7" i="8"/>
  <c r="AQ10" i="8" s="1"/>
  <c r="AQ15" i="8" s="1"/>
  <c r="AQ29" i="8" s="1"/>
  <c r="AZ18" i="6"/>
  <c r="AZ28" i="6" s="1"/>
  <c r="AZ7" i="7"/>
  <c r="AZ10" i="6"/>
  <c r="AZ20" i="6"/>
  <c r="AZ30" i="6" s="1"/>
  <c r="AZ15" i="7" s="1"/>
  <c r="BE15" i="3"/>
  <c r="BE16" i="3" s="1"/>
  <c r="BE23" i="3" s="1"/>
  <c r="BE32" i="7"/>
  <c r="AT18" i="9"/>
  <c r="AT28" i="9" s="1"/>
  <c r="BB27" i="3"/>
  <c r="BB30" i="3" s="1"/>
  <c r="BB7" i="6" s="1"/>
  <c r="BB31" i="3"/>
  <c r="BB19" i="6" s="1"/>
  <c r="BB29" i="6" s="1"/>
  <c r="BB14" i="7" s="1"/>
  <c r="BC22" i="3"/>
  <c r="BD17" i="3"/>
  <c r="BA18" i="6"/>
  <c r="BA28" i="6" s="1"/>
  <c r="BA7" i="7"/>
  <c r="BA10" i="6"/>
  <c r="BA20" i="6"/>
  <c r="BA30" i="6" s="1"/>
  <c r="BA15" i="7" s="1"/>
  <c r="BF22" i="7"/>
  <c r="BF32" i="7" s="1"/>
  <c r="BF12" i="3"/>
  <c r="BG11" i="3"/>
  <c r="AT23" i="8"/>
  <c r="AS25" i="8"/>
  <c r="AS27" i="8" s="1"/>
  <c r="E33" i="1"/>
  <c r="AW35" i="7"/>
  <c r="AW38" i="7"/>
  <c r="E36" i="1"/>
  <c r="BD18" i="3"/>
  <c r="BC19" i="3"/>
  <c r="BC24" i="3" s="1"/>
  <c r="AV40" i="7" l="1"/>
  <c r="BB18" i="6"/>
  <c r="BB28" i="6" s="1"/>
  <c r="BB10" i="6"/>
  <c r="BB20" i="6"/>
  <c r="BB30" i="6" s="1"/>
  <c r="BB15" i="7" s="1"/>
  <c r="BB7" i="7"/>
  <c r="AZ13" i="7"/>
  <c r="AZ31" i="6"/>
  <c r="AZ16" i="7" s="1"/>
  <c r="AY8" i="8"/>
  <c r="AY11" i="9" s="1"/>
  <c r="AY18" i="7"/>
  <c r="AY18" i="8"/>
  <c r="AY9" i="8"/>
  <c r="AY12" i="9" s="1"/>
  <c r="AZ10" i="7"/>
  <c r="AZ15" i="6"/>
  <c r="AZ14" i="6"/>
  <c r="AZ34" i="6"/>
  <c r="AZ13" i="6"/>
  <c r="BE18" i="3"/>
  <c r="BD19" i="3"/>
  <c r="BD24" i="3" s="1"/>
  <c r="AX35" i="7"/>
  <c r="BF15" i="3"/>
  <c r="BF16" i="3" s="1"/>
  <c r="BF23" i="3" s="1"/>
  <c r="BA10" i="7"/>
  <c r="BA14" i="6"/>
  <c r="BA34" i="6"/>
  <c r="BA15" i="6"/>
  <c r="BA13" i="6"/>
  <c r="BD22" i="3"/>
  <c r="BE17" i="3"/>
  <c r="AW19" i="8"/>
  <c r="E37" i="1"/>
  <c r="AW40" i="7"/>
  <c r="AX38" i="7"/>
  <c r="AV7" i="9"/>
  <c r="AV41" i="7"/>
  <c r="BC25" i="3"/>
  <c r="AS29" i="9"/>
  <c r="AS30" i="9" s="1"/>
  <c r="AR7" i="8"/>
  <c r="AR10" i="8" s="1"/>
  <c r="AR15" i="8" s="1"/>
  <c r="AR29" i="8" s="1"/>
  <c r="E34" i="1"/>
  <c r="AT25" i="8"/>
  <c r="AT27" i="8" s="1"/>
  <c r="AU23" i="8"/>
  <c r="BG22" i="7"/>
  <c r="BG32" i="7" s="1"/>
  <c r="BG12" i="3"/>
  <c r="BH11" i="3"/>
  <c r="BA13" i="7"/>
  <c r="BA31" i="6"/>
  <c r="BA16" i="7" s="1"/>
  <c r="AV14" i="9"/>
  <c r="AV16" i="9" s="1"/>
  <c r="AV20" i="8"/>
  <c r="BA8" i="8" l="1"/>
  <c r="BA18" i="7"/>
  <c r="BA19" i="7" s="1"/>
  <c r="AV23" i="8"/>
  <c r="AU25" i="8"/>
  <c r="AU27" i="8" s="1"/>
  <c r="BG15" i="3"/>
  <c r="BG16" i="3" s="1"/>
  <c r="BG23" i="3" s="1"/>
  <c r="AY34" i="7"/>
  <c r="AY37" i="7"/>
  <c r="AY19" i="7"/>
  <c r="AX19" i="8"/>
  <c r="AZ18" i="8"/>
  <c r="AZ9" i="8"/>
  <c r="AZ12" i="9" s="1"/>
  <c r="BB14" i="6"/>
  <c r="BB34" i="6"/>
  <c r="BB10" i="7"/>
  <c r="BB15" i="6"/>
  <c r="BB13" i="6"/>
  <c r="BA9" i="8"/>
  <c r="BA18" i="8"/>
  <c r="BE22" i="3"/>
  <c r="BF17" i="3"/>
  <c r="BB13" i="7"/>
  <c r="BB31" i="6"/>
  <c r="BB16" i="7" s="1"/>
  <c r="AS7" i="8"/>
  <c r="AS10" i="8" s="1"/>
  <c r="AS15" i="8" s="1"/>
  <c r="AS29" i="8" s="1"/>
  <c r="AT29" i="9"/>
  <c r="AT30" i="9" s="1"/>
  <c r="AW7" i="9"/>
  <c r="AW41" i="7"/>
  <c r="E39" i="1"/>
  <c r="AW14" i="9"/>
  <c r="AW16" i="9" s="1"/>
  <c r="AW20" i="8"/>
  <c r="BD25" i="3"/>
  <c r="BE19" i="3"/>
  <c r="BE24" i="3" s="1"/>
  <c r="BF18" i="3"/>
  <c r="BH22" i="7"/>
  <c r="BH32" i="7" s="1"/>
  <c r="BI11" i="3"/>
  <c r="BH12" i="3"/>
  <c r="AZ8" i="8"/>
  <c r="AZ11" i="9" s="1"/>
  <c r="AZ18" i="7"/>
  <c r="AZ19" i="7" s="1"/>
  <c r="AY13" i="9"/>
  <c r="BC27" i="3"/>
  <c r="BC30" i="3" s="1"/>
  <c r="BC7" i="6" s="1"/>
  <c r="BC31" i="3"/>
  <c r="BC19" i="6" s="1"/>
  <c r="BC29" i="6" s="1"/>
  <c r="BC14" i="7" s="1"/>
  <c r="AV18" i="9"/>
  <c r="AV28" i="9" s="1"/>
  <c r="AX40" i="7"/>
  <c r="BA12" i="9" l="1"/>
  <c r="BE25" i="3"/>
  <c r="BB9" i="8"/>
  <c r="BB12" i="9" s="1"/>
  <c r="BB18" i="8"/>
  <c r="BG17" i="3"/>
  <c r="BF22" i="3"/>
  <c r="BI22" i="7"/>
  <c r="BI12" i="3"/>
  <c r="BA13" i="9"/>
  <c r="AZ13" i="9"/>
  <c r="AX14" i="9"/>
  <c r="AX16" i="9" s="1"/>
  <c r="AX20" i="8"/>
  <c r="BG18" i="3"/>
  <c r="BF19" i="3"/>
  <c r="BF24" i="3" s="1"/>
  <c r="BA34" i="7"/>
  <c r="BA35" i="7" s="1"/>
  <c r="BA37" i="7"/>
  <c r="AT7" i="8"/>
  <c r="AT10" i="8" s="1"/>
  <c r="AT15" i="8" s="1"/>
  <c r="AT29" i="8" s="1"/>
  <c r="AU29" i="9"/>
  <c r="AU30" i="9" s="1"/>
  <c r="BA11" i="9"/>
  <c r="BB8" i="8"/>
  <c r="BB11" i="9" s="1"/>
  <c r="BB18" i="7"/>
  <c r="BB19" i="7" s="1"/>
  <c r="AY38" i="7"/>
  <c r="AY40" i="7" s="1"/>
  <c r="BD31" i="3"/>
  <c r="BD19" i="6" s="1"/>
  <c r="BD29" i="6" s="1"/>
  <c r="BD14" i="7" s="1"/>
  <c r="BD27" i="3"/>
  <c r="BD30" i="3" s="1"/>
  <c r="BD7" i="6" s="1"/>
  <c r="BE31" i="3"/>
  <c r="BE19" i="6" s="1"/>
  <c r="BE29" i="6" s="1"/>
  <c r="BE14" i="7" s="1"/>
  <c r="BE27" i="3"/>
  <c r="BE30" i="3" s="1"/>
  <c r="BE7" i="6" s="1"/>
  <c r="AX7" i="9"/>
  <c r="AX41" i="7"/>
  <c r="BC18" i="6"/>
  <c r="BC28" i="6" s="1"/>
  <c r="BC7" i="7"/>
  <c r="BC10" i="6"/>
  <c r="BC20" i="6"/>
  <c r="BC30" i="6" s="1"/>
  <c r="BC15" i="7" s="1"/>
  <c r="AZ34" i="7"/>
  <c r="AZ35" i="7" s="1"/>
  <c r="AZ37" i="7"/>
  <c r="BH15" i="3"/>
  <c r="BH16" i="3" s="1"/>
  <c r="BH23" i="3" s="1"/>
  <c r="AY35" i="7"/>
  <c r="AW23" i="8"/>
  <c r="AV25" i="8"/>
  <c r="AV27" i="8" s="1"/>
  <c r="E44" i="1"/>
  <c r="E40" i="1"/>
  <c r="AW18" i="9"/>
  <c r="AW28" i="9" s="1"/>
  <c r="AY7" i="9" l="1"/>
  <c r="AY41" i="7"/>
  <c r="AZ38" i="7"/>
  <c r="AZ19" i="8" s="1"/>
  <c r="BI32" i="7"/>
  <c r="F31" i="1" s="1"/>
  <c r="G31" i="1" s="1"/>
  <c r="F22" i="1"/>
  <c r="G22" i="1" s="1"/>
  <c r="BD18" i="6"/>
  <c r="BD28" i="6" s="1"/>
  <c r="BD20" i="6"/>
  <c r="BD30" i="6" s="1"/>
  <c r="BD15" i="7" s="1"/>
  <c r="BD7" i="7"/>
  <c r="BD10" i="6"/>
  <c r="BG19" i="3"/>
  <c r="BG24" i="3" s="1"/>
  <c r="BH18" i="3"/>
  <c r="BF25" i="3"/>
  <c r="AU7" i="8"/>
  <c r="AU10" i="8" s="1"/>
  <c r="AU15" i="8" s="1"/>
  <c r="AU29" i="8" s="1"/>
  <c r="AV29" i="9"/>
  <c r="AV30" i="9" s="1"/>
  <c r="AX23" i="8"/>
  <c r="AW25" i="8"/>
  <c r="AW27" i="8" s="1"/>
  <c r="AX18" i="9"/>
  <c r="AX28" i="9" s="1"/>
  <c r="BH17" i="3"/>
  <c r="BG22" i="3"/>
  <c r="AY19" i="8"/>
  <c r="BI15" i="3"/>
  <c r="BI16" i="3" s="1"/>
  <c r="BI23" i="3" s="1"/>
  <c r="BE20" i="6"/>
  <c r="BE30" i="6" s="1"/>
  <c r="BE15" i="7" s="1"/>
  <c r="BE7" i="7"/>
  <c r="BE18" i="6"/>
  <c r="BE28" i="6" s="1"/>
  <c r="BE10" i="6"/>
  <c r="BB13" i="9"/>
  <c r="BB34" i="7"/>
  <c r="BB35" i="7" s="1"/>
  <c r="BB37" i="7"/>
  <c r="BA38" i="7"/>
  <c r="BA19" i="8" s="1"/>
  <c r="BC34" i="6"/>
  <c r="BC10" i="7"/>
  <c r="BC14" i="6"/>
  <c r="BC15" i="6"/>
  <c r="BC13" i="6"/>
  <c r="BC13" i="7"/>
  <c r="BC31" i="6"/>
  <c r="BC16" i="7" s="1"/>
  <c r="BG25" i="3" l="1"/>
  <c r="BG27" i="3" s="1"/>
  <c r="BG30" i="3" s="1"/>
  <c r="BG7" i="6" s="1"/>
  <c r="BE10" i="7"/>
  <c r="BE14" i="6"/>
  <c r="BE34" i="6"/>
  <c r="BE15" i="6"/>
  <c r="BE13" i="6"/>
  <c r="AY23" i="8"/>
  <c r="AX25" i="8"/>
  <c r="AX27" i="8" s="1"/>
  <c r="BD13" i="7"/>
  <c r="BD31" i="6"/>
  <c r="BD16" i="7" s="1"/>
  <c r="BE31" i="6"/>
  <c r="BE16" i="7" s="1"/>
  <c r="BE13" i="7"/>
  <c r="BI17" i="3"/>
  <c r="BI22" i="3" s="1"/>
  <c r="BH22" i="3"/>
  <c r="AV7" i="8"/>
  <c r="AV10" i="8" s="1"/>
  <c r="AV15" i="8" s="1"/>
  <c r="AV29" i="8" s="1"/>
  <c r="AW29" i="9"/>
  <c r="AW30" i="9" s="1"/>
  <c r="BH19" i="3"/>
  <c r="BH24" i="3" s="1"/>
  <c r="BI18" i="3"/>
  <c r="BI19" i="3" s="1"/>
  <c r="BI24" i="3" s="1"/>
  <c r="BF31" i="3"/>
  <c r="BF19" i="6" s="1"/>
  <c r="BF29" i="6" s="1"/>
  <c r="BF14" i="7" s="1"/>
  <c r="BF27" i="3"/>
  <c r="BF30" i="3" s="1"/>
  <c r="BF7" i="6" s="1"/>
  <c r="BD10" i="7"/>
  <c r="BD14" i="6"/>
  <c r="BD34" i="6"/>
  <c r="BD15" i="6"/>
  <c r="BD13" i="6"/>
  <c r="BC8" i="8"/>
  <c r="BC11" i="9" s="1"/>
  <c r="BC18" i="7"/>
  <c r="BC19" i="7" s="1"/>
  <c r="AZ40" i="7"/>
  <c r="AY14" i="9"/>
  <c r="AY16" i="9" s="1"/>
  <c r="AY18" i="9" s="1"/>
  <c r="AY28" i="9" s="1"/>
  <c r="AY20" i="8"/>
  <c r="BC9" i="8"/>
  <c r="BC12" i="9" s="1"/>
  <c r="BC18" i="8"/>
  <c r="AZ14" i="9"/>
  <c r="AZ16" i="9" s="1"/>
  <c r="AZ20" i="8"/>
  <c r="BB38" i="7"/>
  <c r="BA14" i="9"/>
  <c r="BA16" i="9" s="1"/>
  <c r="BA20" i="8"/>
  <c r="BA40" i="7"/>
  <c r="BG31" i="3" l="1"/>
  <c r="BG19" i="6" s="1"/>
  <c r="BG29" i="6" s="1"/>
  <c r="BG14" i="7" s="1"/>
  <c r="AZ7" i="9"/>
  <c r="AZ18" i="9" s="1"/>
  <c r="AZ28" i="9" s="1"/>
  <c r="AZ41" i="7"/>
  <c r="BE9" i="8"/>
  <c r="BE18" i="8"/>
  <c r="BI25" i="3"/>
  <c r="BD8" i="8"/>
  <c r="BD11" i="9" s="1"/>
  <c r="BD18" i="7"/>
  <c r="BC13" i="9"/>
  <c r="BF20" i="6"/>
  <c r="BF30" i="6" s="1"/>
  <c r="BF15" i="7" s="1"/>
  <c r="BF7" i="7"/>
  <c r="BF18" i="6"/>
  <c r="BF28" i="6" s="1"/>
  <c r="BF10" i="6"/>
  <c r="AW7" i="8"/>
  <c r="AW10" i="8" s="1"/>
  <c r="AW15" i="8" s="1"/>
  <c r="AW29" i="8" s="1"/>
  <c r="AX29" i="9"/>
  <c r="AX30" i="9" s="1"/>
  <c r="BD9" i="8"/>
  <c r="BD12" i="9" s="1"/>
  <c r="BD18" i="8"/>
  <c r="BB19" i="8"/>
  <c r="BB40" i="7"/>
  <c r="BE8" i="8"/>
  <c r="BE11" i="9" s="1"/>
  <c r="BE18" i="7"/>
  <c r="BE19" i="7" s="1"/>
  <c r="BA7" i="9"/>
  <c r="BA18" i="9" s="1"/>
  <c r="BA28" i="9" s="1"/>
  <c r="BA41" i="7"/>
  <c r="AZ23" i="8"/>
  <c r="AY25" i="8"/>
  <c r="AY27" i="8" s="1"/>
  <c r="BC34" i="7"/>
  <c r="BC37" i="7"/>
  <c r="BH25" i="3"/>
  <c r="BG20" i="6"/>
  <c r="BG30" i="6" s="1"/>
  <c r="BG15" i="7" s="1"/>
  <c r="BG7" i="7"/>
  <c r="BG18" i="6"/>
  <c r="BG28" i="6" s="1"/>
  <c r="BG10" i="6"/>
  <c r="BB14" i="9" l="1"/>
  <c r="BB16" i="9" s="1"/>
  <c r="BB20" i="8"/>
  <c r="BF13" i="7"/>
  <c r="BF31" i="6"/>
  <c r="BF16" i="7" s="1"/>
  <c r="BB7" i="9"/>
  <c r="BB41" i="7"/>
  <c r="AX7" i="8"/>
  <c r="AX10" i="8" s="1"/>
  <c r="AX15" i="8" s="1"/>
  <c r="AX29" i="8" s="1"/>
  <c r="AY29" i="9"/>
  <c r="AY30" i="9" s="1"/>
  <c r="BG13" i="7"/>
  <c r="BG31" i="6"/>
  <c r="BG16" i="7" s="1"/>
  <c r="BD34" i="7"/>
  <c r="BD35" i="7" s="1"/>
  <c r="BD37" i="7"/>
  <c r="BD19" i="7"/>
  <c r="BC35" i="7"/>
  <c r="BA23" i="8"/>
  <c r="AZ25" i="8"/>
  <c r="AZ27" i="8" s="1"/>
  <c r="BD13" i="9"/>
  <c r="BH27" i="3"/>
  <c r="BH30" i="3" s="1"/>
  <c r="BH7" i="6" s="1"/>
  <c r="BH31" i="3"/>
  <c r="BH19" i="6" s="1"/>
  <c r="BH29" i="6" s="1"/>
  <c r="BH14" i="7" s="1"/>
  <c r="BC38" i="7"/>
  <c r="BI27" i="3"/>
  <c r="BI30" i="3" s="1"/>
  <c r="BI7" i="6" s="1"/>
  <c r="BI31" i="3"/>
  <c r="BI19" i="6" s="1"/>
  <c r="BI29" i="6" s="1"/>
  <c r="BI14" i="7" s="1"/>
  <c r="BE13" i="9"/>
  <c r="BE34" i="7"/>
  <c r="BE35" i="7" s="1"/>
  <c r="BE37" i="7"/>
  <c r="BF15" i="6"/>
  <c r="BF13" i="6"/>
  <c r="BF10" i="7"/>
  <c r="BF14" i="6"/>
  <c r="BF34" i="6"/>
  <c r="BG13" i="6"/>
  <c r="BG15" i="6"/>
  <c r="BG10" i="7"/>
  <c r="BG14" i="6"/>
  <c r="BG34" i="6"/>
  <c r="BE12" i="9"/>
  <c r="F14" i="1" l="1"/>
  <c r="G14" i="1" s="1"/>
  <c r="BB18" i="9"/>
  <c r="BB28" i="9" s="1"/>
  <c r="BC19" i="8"/>
  <c r="BH20" i="6"/>
  <c r="BH30" i="6" s="1"/>
  <c r="BH15" i="7" s="1"/>
  <c r="BH7" i="7"/>
  <c r="BH10" i="6"/>
  <c r="BH18" i="6"/>
  <c r="BH28" i="6" s="1"/>
  <c r="BA25" i="8"/>
  <c r="BA27" i="8" s="1"/>
  <c r="BB23" i="8"/>
  <c r="AY7" i="8"/>
  <c r="AY10" i="8" s="1"/>
  <c r="AY15" i="8" s="1"/>
  <c r="AY29" i="8" s="1"/>
  <c r="AZ29" i="9"/>
  <c r="AZ30" i="9" s="1"/>
  <c r="BC40" i="7"/>
  <c r="BD38" i="7"/>
  <c r="BD19" i="8" s="1"/>
  <c r="BG18" i="8"/>
  <c r="BG9" i="8"/>
  <c r="BI20" i="6"/>
  <c r="BI30" i="6" s="1"/>
  <c r="BI15" i="7" s="1"/>
  <c r="F15" i="1" s="1"/>
  <c r="G15" i="1" s="1"/>
  <c r="BI7" i="7"/>
  <c r="F7" i="1" s="1"/>
  <c r="G7" i="1" s="1"/>
  <c r="BI18" i="6"/>
  <c r="BI28" i="6" s="1"/>
  <c r="BI10" i="6"/>
  <c r="BE38" i="7"/>
  <c r="BE19" i="8" s="1"/>
  <c r="BG18" i="7"/>
  <c r="BG19" i="7" s="1"/>
  <c r="BG8" i="8"/>
  <c r="BF8" i="8"/>
  <c r="BF11" i="9" s="1"/>
  <c r="BF18" i="7"/>
  <c r="BF19" i="7" s="1"/>
  <c r="BF9" i="8"/>
  <c r="BF12" i="9" s="1"/>
  <c r="BF18" i="8"/>
  <c r="BG12" i="9" l="1"/>
  <c r="BI15" i="6"/>
  <c r="BI13" i="6"/>
  <c r="BI10" i="7"/>
  <c r="BI14" i="6"/>
  <c r="BI34" i="6"/>
  <c r="BD14" i="9"/>
  <c r="BD16" i="9" s="1"/>
  <c r="BD20" i="8"/>
  <c r="BD40" i="7"/>
  <c r="BH31" i="6"/>
  <c r="BH16" i="7" s="1"/>
  <c r="BH13" i="7"/>
  <c r="BG11" i="9"/>
  <c r="BE40" i="7"/>
  <c r="BI31" i="6"/>
  <c r="BI16" i="7" s="1"/>
  <c r="BI13" i="7"/>
  <c r="BG13" i="9"/>
  <c r="BA29" i="9"/>
  <c r="BA30" i="9" s="1"/>
  <c r="AZ7" i="8"/>
  <c r="AZ10" i="8" s="1"/>
  <c r="AZ15" i="8" s="1"/>
  <c r="AZ29" i="8" s="1"/>
  <c r="BB25" i="8"/>
  <c r="BB27" i="8" s="1"/>
  <c r="BC23" i="8"/>
  <c r="BH15" i="6"/>
  <c r="BH13" i="6"/>
  <c r="BH10" i="7"/>
  <c r="BH34" i="6"/>
  <c r="BH14" i="6"/>
  <c r="BG34" i="7"/>
  <c r="BG35" i="7" s="1"/>
  <c r="BG37" i="7"/>
  <c r="BE14" i="9"/>
  <c r="BE16" i="9" s="1"/>
  <c r="BE20" i="8"/>
  <c r="BC7" i="9"/>
  <c r="BC18" i="9" s="1"/>
  <c r="BC28" i="9" s="1"/>
  <c r="BC41" i="7"/>
  <c r="BF13" i="9"/>
  <c r="BC14" i="9"/>
  <c r="BC16" i="9" s="1"/>
  <c r="BC20" i="8"/>
  <c r="BF37" i="7"/>
  <c r="BF34" i="7"/>
  <c r="BF35" i="7" s="1"/>
  <c r="F16" i="1" l="1"/>
  <c r="G16" i="1" s="1"/>
  <c r="BI18" i="8"/>
  <c r="BI9" i="8"/>
  <c r="F13" i="1"/>
  <c r="G13" i="1" s="1"/>
  <c r="BE7" i="9"/>
  <c r="BE18" i="9" s="1"/>
  <c r="BE28" i="9" s="1"/>
  <c r="BE41" i="7"/>
  <c r="BF38" i="7"/>
  <c r="BF19" i="8" s="1"/>
  <c r="BG38" i="7"/>
  <c r="BG19" i="8" s="1"/>
  <c r="BH18" i="7"/>
  <c r="BH19" i="7" s="1"/>
  <c r="BH8" i="8"/>
  <c r="BH11" i="9" s="1"/>
  <c r="BD7" i="9"/>
  <c r="BD18" i="9" s="1"/>
  <c r="BD28" i="9" s="1"/>
  <c r="BD41" i="7"/>
  <c r="BC25" i="8"/>
  <c r="BD23" i="8"/>
  <c r="BB29" i="9"/>
  <c r="BB30" i="9" s="1"/>
  <c r="BA7" i="8"/>
  <c r="BA10" i="8" s="1"/>
  <c r="BA15" i="8" s="1"/>
  <c r="BA29" i="8" s="1"/>
  <c r="BH18" i="8"/>
  <c r="BH9" i="8"/>
  <c r="BH12" i="9" s="1"/>
  <c r="BC27" i="8"/>
  <c r="BI8" i="8"/>
  <c r="BI11" i="9" s="1"/>
  <c r="BI18" i="7"/>
  <c r="F10" i="1"/>
  <c r="BI37" i="7" l="1"/>
  <c r="BI34" i="7"/>
  <c r="F18" i="1"/>
  <c r="G18" i="1" s="1"/>
  <c r="BD25" i="8"/>
  <c r="BD27" i="8" s="1"/>
  <c r="BE23" i="8"/>
  <c r="BI19" i="7"/>
  <c r="BG14" i="9"/>
  <c r="BG16" i="9" s="1"/>
  <c r="BG20" i="8"/>
  <c r="BF14" i="9"/>
  <c r="BF16" i="9" s="1"/>
  <c r="BF20" i="8"/>
  <c r="BF40" i="7"/>
  <c r="BH13" i="9"/>
  <c r="BC29" i="9"/>
  <c r="BC30" i="9" s="1"/>
  <c r="BB7" i="8"/>
  <c r="BB10" i="8" s="1"/>
  <c r="BB15" i="8" s="1"/>
  <c r="BB29" i="8" s="1"/>
  <c r="BH34" i="7"/>
  <c r="BH35" i="7" s="1"/>
  <c r="BH37" i="7"/>
  <c r="BG40" i="7"/>
  <c r="BI12" i="9"/>
  <c r="F19" i="1"/>
  <c r="F43" i="1"/>
  <c r="G10" i="1"/>
  <c r="BI13" i="9"/>
  <c r="BG7" i="9" l="1"/>
  <c r="BG18" i="9" s="1"/>
  <c r="BG28" i="9" s="1"/>
  <c r="BG41" i="7"/>
  <c r="BE25" i="8"/>
  <c r="BE27" i="8" s="1"/>
  <c r="BF23" i="8"/>
  <c r="G19" i="1"/>
  <c r="BH38" i="7"/>
  <c r="BH19" i="8" s="1"/>
  <c r="F33" i="1"/>
  <c r="BI35" i="7"/>
  <c r="BD29" i="9"/>
  <c r="BD30" i="9" s="1"/>
  <c r="BC7" i="8"/>
  <c r="BC10" i="8" s="1"/>
  <c r="BC15" i="8" s="1"/>
  <c r="BC29" i="8" s="1"/>
  <c r="BF7" i="9"/>
  <c r="BF18" i="9" s="1"/>
  <c r="BF28" i="9" s="1"/>
  <c r="BF41" i="7"/>
  <c r="BI38" i="7"/>
  <c r="F36" i="1"/>
  <c r="G36" i="1" s="1"/>
  <c r="BF25" i="8" l="1"/>
  <c r="BF27" i="8" s="1"/>
  <c r="BG23" i="8"/>
  <c r="BH14" i="9"/>
  <c r="BH16" i="9" s="1"/>
  <c r="BH20" i="8"/>
  <c r="BH40" i="7"/>
  <c r="BI19" i="8"/>
  <c r="F37" i="1"/>
  <c r="G37" i="1" s="1"/>
  <c r="G33" i="1"/>
  <c r="G34" i="1" s="1"/>
  <c r="F34" i="1"/>
  <c r="BI40" i="7"/>
  <c r="BE29" i="9"/>
  <c r="BE30" i="9" s="1"/>
  <c r="BD7" i="8"/>
  <c r="BD10" i="8" s="1"/>
  <c r="BD15" i="8" s="1"/>
  <c r="BD29" i="8" s="1"/>
  <c r="BE7" i="8" l="1"/>
  <c r="BE10" i="8" s="1"/>
  <c r="BE15" i="8" s="1"/>
  <c r="BE29" i="8" s="1"/>
  <c r="BF29" i="9"/>
  <c r="BF30" i="9" s="1"/>
  <c r="BI7" i="9"/>
  <c r="F39" i="1"/>
  <c r="BI41" i="7"/>
  <c r="BI14" i="9"/>
  <c r="BI16" i="9" s="1"/>
  <c r="BI20" i="8"/>
  <c r="BG25" i="8"/>
  <c r="BG27" i="8" s="1"/>
  <c r="BH23" i="8"/>
  <c r="BH7" i="9"/>
  <c r="BH18" i="9" s="1"/>
  <c r="BH28" i="9" s="1"/>
  <c r="BH41" i="7"/>
  <c r="F44" i="1" l="1"/>
  <c r="G39" i="1"/>
  <c r="G40" i="1" s="1"/>
  <c r="F40" i="1"/>
  <c r="BF7" i="8"/>
  <c r="BF10" i="8" s="1"/>
  <c r="BF15" i="8" s="1"/>
  <c r="BF29" i="8" s="1"/>
  <c r="BG29" i="9"/>
  <c r="BG30" i="9" s="1"/>
  <c r="BH25" i="8"/>
  <c r="BH27" i="8" s="1"/>
  <c r="BI23" i="8"/>
  <c r="BI25" i="8" s="1"/>
  <c r="BI27" i="8" s="1"/>
  <c r="BI18" i="9"/>
  <c r="BI28" i="9" s="1"/>
  <c r="BH29" i="9" l="1"/>
  <c r="BH30" i="9" s="1"/>
  <c r="BG7" i="8"/>
  <c r="BG10" i="8" s="1"/>
  <c r="BG15" i="8" s="1"/>
  <c r="BG29" i="8" s="1"/>
  <c r="BH7" i="8" l="1"/>
  <c r="BH10" i="8" s="1"/>
  <c r="BH15" i="8" s="1"/>
  <c r="BH29" i="8" s="1"/>
  <c r="BI29" i="9"/>
  <c r="BI30" i="9" s="1"/>
  <c r="BI7" i="8" s="1"/>
  <c r="BI10" i="8" s="1"/>
  <c r="BI15" i="8" s="1"/>
  <c r="BI29" i="8" s="1"/>
</calcChain>
</file>

<file path=xl/sharedStrings.xml><?xml version="1.0" encoding="utf-8"?>
<sst xmlns="http://schemas.openxmlformats.org/spreadsheetml/2006/main" count="744" uniqueCount="345">
  <si>
    <t>PLASMAIDE — Annual P&amp;L Summary (Multi-Channel)</t>
  </si>
  <si>
    <t>Australian Financial Year (Jul–Jun)</t>
  </si>
  <si>
    <t>FY26</t>
  </si>
  <si>
    <t>FY27</t>
  </si>
  <si>
    <t>FY28</t>
  </si>
  <si>
    <t>FY29</t>
  </si>
  <si>
    <t>FY30</t>
  </si>
  <si>
    <t>5-Year Total</t>
  </si>
  <si>
    <t>REVENUE BY CHANNEL</t>
  </si>
  <si>
    <t>DTC Revenue</t>
  </si>
  <si>
    <t>Wholesale Revenue</t>
  </si>
  <si>
    <t>Retail Revenue</t>
  </si>
  <si>
    <t>Total Net Revenue</t>
  </si>
  <si>
    <t>COST OF GOODS SOLD</t>
  </si>
  <si>
    <t>Product Cost</t>
  </si>
  <si>
    <t>Fulfillment</t>
  </si>
  <si>
    <t>Transaction Fees</t>
  </si>
  <si>
    <t>Total COGS</t>
  </si>
  <si>
    <t>GROSS PROFIT</t>
  </si>
  <si>
    <t>Gross Margin %</t>
  </si>
  <si>
    <t>OPERATING EXPENSES</t>
  </si>
  <si>
    <t>Performance Marketing</t>
  </si>
  <si>
    <t>Brand Marketing</t>
  </si>
  <si>
    <t>Salaries &amp; Wages</t>
  </si>
  <si>
    <t>R&amp;D / Clinical Testing</t>
  </si>
  <si>
    <t>General &amp; Admin</t>
  </si>
  <si>
    <t>Platform &amp; Technology</t>
  </si>
  <si>
    <t>Wholesale Sales Cost</t>
  </si>
  <si>
    <t>Retail Sales Cost</t>
  </si>
  <si>
    <t>Depreciation</t>
  </si>
  <si>
    <t>Total Operating Expenses</t>
  </si>
  <si>
    <t>EBITDA</t>
  </si>
  <si>
    <t>EBITDA Margin %</t>
  </si>
  <si>
    <t>EBIT</t>
  </si>
  <si>
    <t>Tax</t>
  </si>
  <si>
    <t>NET INCOME</t>
  </si>
  <si>
    <t>Net Margin %</t>
  </si>
  <si>
    <t>YEAR-ON-YEAR GROWTH</t>
  </si>
  <si>
    <t>Revenue Growth %</t>
  </si>
  <si>
    <t>—</t>
  </si>
  <si>
    <t>Net Income Growth %</t>
  </si>
  <si>
    <t>PLASMAIDE — 3-Way Integrated Financial Model (Multi-Channel)</t>
  </si>
  <si>
    <t>Drivers &amp; Assumptions Dashboard</t>
  </si>
  <si>
    <t>Australian Financial Year (1 Jul – 30 Jun) | Monthly for 5 Years</t>
  </si>
  <si>
    <t>DTC (DIRECT-TO-CONSUMER) ASSUMPTIONS</t>
  </si>
  <si>
    <t>Value</t>
  </si>
  <si>
    <t>Rationale / Source</t>
  </si>
  <si>
    <t>DTC Average Order Value (AOV)</t>
  </si>
  <si>
    <t>2×14-pack sachet bundle list price</t>
  </si>
  <si>
    <t>DTC Customer Acquisition Cost (CAC)</t>
  </si>
  <si>
    <t>Blended paid channel CAC for AU/UK markets</t>
  </si>
  <si>
    <t>Subscription Split (% of New Customers)</t>
  </si>
  <si>
    <t>Monthly Subscription Churn Rate</t>
  </si>
  <si>
    <t>Performance supplements with tangible results tracking</t>
  </si>
  <si>
    <t>One-off Repeat Purchase Rate (monthly)</t>
  </si>
  <si>
    <t>5% of one-off pool repurchases each month</t>
  </si>
  <si>
    <t>Initial Monthly Ad Spend</t>
  </si>
  <si>
    <t>Starting performance marketing budget</t>
  </si>
  <si>
    <t>Ad Spend Monthly Growth Rate</t>
  </si>
  <si>
    <t>5% monthly increase as brand scales</t>
  </si>
  <si>
    <t>DTC Fulfillment per Order</t>
  </si>
  <si>
    <t>Pick-and-pack + shipping</t>
  </si>
  <si>
    <t>DTC Transaction Fee %</t>
  </si>
  <si>
    <t>Shopify / payment gateway 3%</t>
  </si>
  <si>
    <t>DTC COGS % (product cost)</t>
  </si>
  <si>
    <t>70% gross margin on product cost; Pine Bark extract</t>
  </si>
  <si>
    <t>DTC AR Days</t>
  </si>
  <si>
    <t>Mostly instant DTC settlement</t>
  </si>
  <si>
    <t>WHOLESALE ASSUMPTIONS</t>
  </si>
  <si>
    <t>Wholesale Price per 14-pack</t>
  </si>
  <si>
    <t>~48% discount off DTC list for distributors</t>
  </si>
  <si>
    <t>Units per Case</t>
  </si>
  <si>
    <t>12 × 14-packs per case</t>
  </si>
  <si>
    <t>Cases per Pallet</t>
  </si>
  <si>
    <t>36 cases = 432 units per pallet</t>
  </si>
  <si>
    <t>Wholesale COGS % (product cost)</t>
  </si>
  <si>
    <t>Same manufacturing cost base as DTC</t>
  </si>
  <si>
    <t>Wholesale Fulfillment per Case</t>
  </si>
  <si>
    <t>Bulk palletised shipping — lower per unit</t>
  </si>
  <si>
    <t>Wholesale Transaction Fee %</t>
  </si>
  <si>
    <t>Bank transfer / invoice — no gateway fee</t>
  </si>
  <si>
    <t>Wholesale AR Days</t>
  </si>
  <si>
    <t>Standard distributor invoice terms</t>
  </si>
  <si>
    <t>Wholesale Order Frequency (months)</t>
  </si>
  <si>
    <t>Quarterly ordering cycle (adjustable)</t>
  </si>
  <si>
    <t>Avg Cases per Order (new country, Year 1)</t>
  </si>
  <si>
    <t>Initial trial orders — small case quantities</t>
  </si>
  <si>
    <t>Avg Cases per Order Growth (annual)</t>
  </si>
  <si>
    <t>25% annual increase in avg order size</t>
  </si>
  <si>
    <t>RETAIL ASSUMPTIONS</t>
  </si>
  <si>
    <t>Retail Launch Month (month # from Jul-25)</t>
  </si>
  <si>
    <t>Month 37 = Jul-28. Change to move launch date.</t>
  </si>
  <si>
    <t>Retail Price per 14-pack</t>
  </si>
  <si>
    <t>~13% discount off DTC list for retail margin sharing</t>
  </si>
  <si>
    <t>Retail COGS % (product cost)</t>
  </si>
  <si>
    <t>Same manufacturing cost base</t>
  </si>
  <si>
    <t>Retail Fulfillment per Case</t>
  </si>
  <si>
    <t>Delivery to retail stores / warehouses</t>
  </si>
  <si>
    <t>Retail Transaction Fee %</t>
  </si>
  <si>
    <t>1.5% — lower rate on B2B invoicing</t>
  </si>
  <si>
    <t>Retail AR Days</t>
  </si>
  <si>
    <t>Retail chain payment terms</t>
  </si>
  <si>
    <t>Initial Retail Doors (stores)</t>
  </si>
  <si>
    <t>Starting retail footprint at launch</t>
  </si>
  <si>
    <t>New Doors per Month (post-launch)</t>
  </si>
  <si>
    <t>Gradual retail rollout</t>
  </si>
  <si>
    <t>Avg Units per Door per Month</t>
  </si>
  <si>
    <t>8 × 14-packs per store per month</t>
  </si>
  <si>
    <t>Units per Door Annual Growth</t>
  </si>
  <si>
    <t>10% annual increase as brand gains traction</t>
  </si>
  <si>
    <t>SHARED MARKETING &amp; BRAND</t>
  </si>
  <si>
    <t>Fixed Brand Spend (monthly)</t>
  </si>
  <si>
    <t>Content, influencers, partnerships</t>
  </si>
  <si>
    <t>Brand Spend Annual Escalation</t>
  </si>
  <si>
    <t>10% annual increase</t>
  </si>
  <si>
    <t>OPERATING EXPENSES (SHARED)</t>
  </si>
  <si>
    <t>Salaries &amp; Wages (monthly)</t>
  </si>
  <si>
    <t>Founders + team</t>
  </si>
  <si>
    <t>Salary Annual Escalation</t>
  </si>
  <si>
    <t>5% annual</t>
  </si>
  <si>
    <t>R&amp;D / Clinical Testing (monthly)</t>
  </si>
  <si>
    <t>Informed Sport, clinical/sports science</t>
  </si>
  <si>
    <t>R&amp;D Annual Escalation</t>
  </si>
  <si>
    <t>10% annual</t>
  </si>
  <si>
    <t>General &amp; Admin (monthly)</t>
  </si>
  <si>
    <t>Rent, insurance, software, legal</t>
  </si>
  <si>
    <t>G&amp;A Annual Escalation</t>
  </si>
  <si>
    <t>Platform / Tech (monthly)</t>
  </si>
  <si>
    <t>Shopify Plus, DotDigital, apps</t>
  </si>
  <si>
    <t>Tech Annual Escalation</t>
  </si>
  <si>
    <t>Wholesale Sales Cost (monthly, from Month 1)</t>
  </si>
  <si>
    <t>BDM / distributor management</t>
  </si>
  <si>
    <t>Retail Sales Cost (monthly, from retail launch)</t>
  </si>
  <si>
    <t>Retail account management / merchandising</t>
  </si>
  <si>
    <t>BALANCE SHEET &amp; WORKING CAPITAL</t>
  </si>
  <si>
    <t>Inventory Days on Hand</t>
  </si>
  <si>
    <t>Specialized manufacturing + Informed Sport testing</t>
  </si>
  <si>
    <t>Opening Cash Balance</t>
  </si>
  <si>
    <t>Starting cash — adjust to actual</t>
  </si>
  <si>
    <t>Tax Rate</t>
  </si>
  <si>
    <t>Australian corporate tax rate (base rate entity)</t>
  </si>
  <si>
    <t>Depreciation (monthly)</t>
  </si>
  <si>
    <t>Minimal fixed assets</t>
  </si>
  <si>
    <t>Capex (monthly)</t>
  </si>
  <si>
    <t>Equipment &amp; tooling</t>
  </si>
  <si>
    <t>PLASMAIDE — DTC Revenue Build</t>
  </si>
  <si>
    <t>Shopify Direct-to-Consumer Channel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</si>
  <si>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</si>
  <si>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</si>
  <si>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</si>
  <si>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</si>
  <si>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</si>
  <si>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</si>
  <si>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</si>
  <si>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</si>
  <si>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</si>
  <si>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Apr-26</t>
  </si>
  <si>
    <t>May-26</t>
  </si>
  <si>
    <t>Jun-26</t>
  </si>
  <si>
    <t>Jul-26</t>
  </si>
  <si>
    <t>Aug-26</t>
  </si>
  <si>
    <t>Sep-26</t>
  </si>
  <si>
    <t>Oct-26</t>
  </si>
  <si>
    <t>Nov-26</t>
  </si>
  <si>
    <t>Dec-26</t>
  </si>
  <si>
    <t>Jan-27</t>
  </si>
  <si>
    <t>Feb-27</t>
  </si>
  <si>
    <t>Mar-27</t>
  </si>
  <si>
    <t>Apr-27</t>
  </si>
  <si>
    <t>May-27</t>
  </si>
  <si>
    <t>Jun-27</t>
  </si>
  <si>
    <t>Jul-27</t>
  </si>
  <si>
    <t>Aug-27</t>
  </si>
  <si>
    <t>Sep-27</t>
  </si>
  <si>
    <t>Oct-27</t>
  </si>
  <si>
    <t>Nov-27</t>
  </si>
  <si>
    <t>Dec-27</t>
  </si>
  <si>
    <t>Jan-28</t>
  </si>
  <si>
    <t>Feb-28</t>
  </si>
  <si>
    <t>Mar-28</t>
  </si>
  <si>
    <t>Apr-28</t>
  </si>
  <si>
    <t>May-28</t>
  </si>
  <si>
    <t>Jun-28</t>
  </si>
  <si>
    <t>Jul-28</t>
  </si>
  <si>
    <t>Aug-28</t>
  </si>
  <si>
    <t>Sep-28</t>
  </si>
  <si>
    <t>Oct-28</t>
  </si>
  <si>
    <t>Nov-28</t>
  </si>
  <si>
    <t>Dec-28</t>
  </si>
  <si>
    <t>Jan-29</t>
  </si>
  <si>
    <t>Feb-29</t>
  </si>
  <si>
    <t>Mar-29</t>
  </si>
  <si>
    <t>Apr-29</t>
  </si>
  <si>
    <t>May-29</t>
  </si>
  <si>
    <t>Jun-29</t>
  </si>
  <si>
    <t>Jul-29</t>
  </si>
  <si>
    <t>Aug-29</t>
  </si>
  <si>
    <t>Sep-29</t>
  </si>
  <si>
    <t>Oct-29</t>
  </si>
  <si>
    <t>Nov-29</t>
  </si>
  <si>
    <t>Dec-29</t>
  </si>
  <si>
    <t>Jan-30</t>
  </si>
  <si>
    <t>Feb-30</t>
  </si>
  <si>
    <t>Mar-30</t>
  </si>
  <si>
    <t>Apr-30</t>
  </si>
  <si>
    <t>May-30</t>
  </si>
  <si>
    <t>Jun-30</t>
  </si>
  <si>
    <t>DTC ACTUALS (AUD)</t>
  </si>
  <si>
    <t>DTC Revenue (Actuals)</t>
  </si>
  <si>
    <t>Implied Orders (Actuals ÷ AOV)</t>
  </si>
  <si>
    <t>AD SPEND &amp; ACQUISITION</t>
  </si>
  <si>
    <t>Monthly Performance Ad Spend</t>
  </si>
  <si>
    <t>New Customers (Ad Spend ÷ CAC)</t>
  </si>
  <si>
    <t>CUSTOMER COHORT MODEL</t>
  </si>
  <si>
    <t>New Subscribers</t>
  </si>
  <si>
    <t>New One-off Buyers</t>
  </si>
  <si>
    <t>Active Subscribers (end of month)</t>
  </si>
  <si>
    <t>Cumulative One-off Pool</t>
  </si>
  <si>
    <t>Repeat One-off Orders</t>
  </si>
  <si>
    <t>DTC TOTALS</t>
  </si>
  <si>
    <t>Subscription Orders</t>
  </si>
  <si>
    <t>New One-off Orders</t>
  </si>
  <si>
    <t>Total DTC Orders</t>
  </si>
  <si>
    <t>DTC Modelled Revenue (Orders × AOV)</t>
  </si>
  <si>
    <t>DTC REVENUE (Actuals then Model)</t>
  </si>
  <si>
    <t>DTC Revenue (AUD)</t>
  </si>
  <si>
    <t>DTC Total Orders (for COGS calc)</t>
  </si>
  <si>
    <t>PLASMAIDE — Wholesale Revenue by Country</t>
  </si>
  <si>
    <t>Distributor orders by country — enter actuals in blue cells, model fills forward</t>
  </si>
  <si>
    <t>WHOLESALE ORDERS BY COUNTRY (Cases per month — enter actuals, model fills forward)</t>
  </si>
  <si>
    <t>Australia — Cases Ordered</t>
  </si>
  <si>
    <t>New Zealand — Cases Ordered</t>
  </si>
  <si>
    <t>United Kingdom — Cases Ordered</t>
  </si>
  <si>
    <t>United States — Cases Ordered</t>
  </si>
  <si>
    <t>Canada — Cases Ordered</t>
  </si>
  <si>
    <t>Mexico — Cases Ordered</t>
  </si>
  <si>
    <t>European Union — Cases Ordered</t>
  </si>
  <si>
    <t>UAE — Cases Ordered</t>
  </si>
  <si>
    <t>Malaysia — Cases Ordered</t>
  </si>
  <si>
    <t>Japan — Cases Ordered</t>
  </si>
  <si>
    <t>Country 11 — Cases Ordered</t>
  </si>
  <si>
    <t>Country 12 — Cases Ordered</t>
  </si>
  <si>
    <t>Country 13 — Cases Ordered</t>
  </si>
  <si>
    <t>Country 14 — Cases Ordered</t>
  </si>
  <si>
    <t>Country 15 — Cases Ordered</t>
  </si>
  <si>
    <t>Country 16 — Cases Ordered</t>
  </si>
  <si>
    <t>Country 17 — Cases Ordered</t>
  </si>
  <si>
    <t>Country 18 — Cases Ordered</t>
  </si>
  <si>
    <t>Country 19 — Cases Ordered</t>
  </si>
  <si>
    <t>Country 20 — Cases Ordered</t>
  </si>
  <si>
    <t>Total Cases Ordered (all countries)</t>
  </si>
  <si>
    <t>Total Units (Cases × Units per Case)</t>
  </si>
  <si>
    <t>WHOLESALE REVENUE</t>
  </si>
  <si>
    <t>Wholesale Revenue (Units × WS Price)</t>
  </si>
  <si>
    <t>Wholesale Revenue — Actuals (AUD)</t>
  </si>
  <si>
    <t>WHOLESALE REVENUE (Actuals then Model)</t>
  </si>
  <si>
    <t>Wholesale Total Cases (for COGS calc)</t>
  </si>
  <si>
    <t>PLASMAIDE — Retail Revenue Build</t>
  </si>
  <si>
    <t>Direct retail channel — launches at configurable month</t>
  </si>
  <si>
    <t>RETAIL ROLLOUT</t>
  </si>
  <si>
    <t>Month Number (1 = Jul-25)</t>
  </si>
  <si>
    <t>Retail Active? (1=Yes, 0=No)</t>
  </si>
  <si>
    <t>Months Since Retail Launch</t>
  </si>
  <si>
    <t>STORE ROLLOUT &amp; VOLUME</t>
  </si>
  <si>
    <t>Active Retail Doors</t>
  </si>
  <si>
    <t>Units per Door per Month</t>
  </si>
  <si>
    <t>Total Retail Units</t>
  </si>
  <si>
    <t>Total Retail Cases (for fulfillment calc)</t>
  </si>
  <si>
    <t>RETAIL REVENUE</t>
  </si>
  <si>
    <t>Retail Revenue (Units × Retail Price)</t>
  </si>
  <si>
    <t>PLASMAIDE — Revenue Consolidation (All Channels)</t>
  </si>
  <si>
    <t>DTC + Wholesale + Retail</t>
  </si>
  <si>
    <t>TOTAL REVENUE</t>
  </si>
  <si>
    <t>CHANNEL MIX %</t>
  </si>
  <si>
    <t>DTC %</t>
  </si>
  <si>
    <t>Wholesale %</t>
  </si>
  <si>
    <t>Retail %</t>
  </si>
  <si>
    <t>COGS BY CHANNEL</t>
  </si>
  <si>
    <t>DTC Product Cost</t>
  </si>
  <si>
    <t>DTC Fulfillment</t>
  </si>
  <si>
    <t>DTC Transaction Fees</t>
  </si>
  <si>
    <t>Wholesale Product Cost</t>
  </si>
  <si>
    <t>Wholesale Fulfillment</t>
  </si>
  <si>
    <t>Wholesale Transaction Fees</t>
  </si>
  <si>
    <t>Retail Product Cost</t>
  </si>
  <si>
    <t>Retail Fulfillment</t>
  </si>
  <si>
    <t>Retail Transaction Fees</t>
  </si>
  <si>
    <t>Total Product Cost</t>
  </si>
  <si>
    <t>Total Fulfillment</t>
  </si>
  <si>
    <t>Total Transaction Fees</t>
  </si>
  <si>
    <t>TOTAL COGS (All Channels)</t>
  </si>
  <si>
    <t>BLENDED AR DAYS (for Balance Sheet)</t>
  </si>
  <si>
    <t>Blended AR Days (weighted by channel revenue)</t>
  </si>
  <si>
    <t>PLASMAIDE — Income Statement (P&amp;L)</t>
  </si>
  <si>
    <t>Consolidated All Channels | Monthly | Australian Financial Year</t>
  </si>
  <si>
    <t>REVENUE</t>
  </si>
  <si>
    <t>Product Cost (All Channels)</t>
  </si>
  <si>
    <t>Fulfillment (All Channels)</t>
  </si>
  <si>
    <t>Transaction Fees (All Channels)</t>
  </si>
  <si>
    <t>Performance Marketing (DTC Ad Spend)</t>
  </si>
  <si>
    <t>Retail Sales Cost (from retail launch)</t>
  </si>
  <si>
    <t>Depreciation &amp; Amortisation</t>
  </si>
  <si>
    <t>EBIT (Operating Profit)</t>
  </si>
  <si>
    <t>Income Tax Expense</t>
  </si>
  <si>
    <t>PLASMAIDE — Balance Sheet</t>
  </si>
  <si>
    <t>Monthly | Australian Financial Year</t>
  </si>
  <si>
    <t>CURRENT ASSETS</t>
  </si>
  <si>
    <t>Cash &amp; Cash Equivalents</t>
  </si>
  <si>
    <t>Accounts Receivable (blended AR days)</t>
  </si>
  <si>
    <t>Inventory (120-day lead time)</t>
  </si>
  <si>
    <t>Total Current Assets</t>
  </si>
  <si>
    <t>FIXED ASSETS</t>
  </si>
  <si>
    <t>PP&amp;E (net)</t>
  </si>
  <si>
    <t>TOTAL ASSETS</t>
  </si>
  <si>
    <t>CURRENT LIABILITIES</t>
  </si>
  <si>
    <t>Accounts Payable</t>
  </si>
  <si>
    <t>Tax Payable</t>
  </si>
  <si>
    <t>Total Current Liabilities</t>
  </si>
  <si>
    <t>EQUITY</t>
  </si>
  <si>
    <t>Retained Earnings (cumulative)</t>
  </si>
  <si>
    <t>Opening Equity / Contributed Capital</t>
  </si>
  <si>
    <t>Total Equity</t>
  </si>
  <si>
    <t>TOTAL LIABILITIES + EQUITY</t>
  </si>
  <si>
    <t>Balance Check (should = 0)</t>
  </si>
  <si>
    <t>PLASMAIDE — Cash Flow Statement</t>
  </si>
  <si>
    <t>CASH FROM OPERATING ACTIVITIES</t>
  </si>
  <si>
    <t>Net Income</t>
  </si>
  <si>
    <t>(+) Depreciation &amp; Amortisation</t>
  </si>
  <si>
    <t>CHANGES IN WORKING CAPITAL</t>
  </si>
  <si>
    <t>(−) Increase in Accounts Receivable</t>
  </si>
  <si>
    <t>(−) Increase in Inventory</t>
  </si>
  <si>
    <t>(+) Increase in Accounts Payable</t>
  </si>
  <si>
    <t>(+/−) Change in Tax Payable</t>
  </si>
  <si>
    <t>Total Change in Working Capital</t>
  </si>
  <si>
    <t>Net Cash from Operating Activities</t>
  </si>
  <si>
    <t>CASH FROM INVESTING ACTIVITIES</t>
  </si>
  <si>
    <t>Capital Expenditure</t>
  </si>
  <si>
    <t>Net Cash from Investing</t>
  </si>
  <si>
    <t>CASH FROM FINANCING ACTIVITIES</t>
  </si>
  <si>
    <t>Equity Injection / Debt (placeholder)</t>
  </si>
  <si>
    <t>Net Cash from Financing</t>
  </si>
  <si>
    <t>NET CHANGE IN CASH</t>
  </si>
  <si>
    <t>CLOSING CASH BALANCE</t>
  </si>
  <si>
    <t>40% subscribe; 60% one-off</t>
  </si>
  <si>
    <t>100% annual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</si>
</sst>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$&quot;* #,##0.00_-;\-&quot;$&quot;* #,##0.00_-;_-&quot;$&quot;* &quot;-&quot;??_-;_-@_-"/>
    <numFmt numFmtId="164" formatCode="\$#,##0;&quot;($&quot;#,##0\);\-"/>
    <numFmt numFmtId="165" formatCode="0.0%"/>
    <numFmt numFmtId="166" formatCode="#,##0;\(#,##0\);\-"/>
    <numFmt numFmtId="167" formatCode="0.0"/>
    <numFmt numFmtId="168" formatCode="\$#,##0.00;&quot;($&quot;#,##0.00\);\-"/>
    <numFmt numFmtId="169" formatCode="_-&quot;$&quot;* #,##0_-;\-&quot;$&quot;* #,##0_-;_-&quot;$&quot;* &quot;-&quot;??_-;_-@_-"/>
  </numFmts>
  <fonts count="16" x14ac:knownFonts="1">
    <font>
      <sz val="11"/>
      <color theme="1"/>
      <name val="Calibri"/>
      <family val="2"/>
      <charset val="1"/>
    </font>
    <font>
      <sz val="10"/>
      <name val="Arial"/>
    </font>
    <font>
      <b/>
      <sz val="14"/>
      <color rgb="FF000000"/>
      <name val="Arial"/>
      <charset val="1"/>
    </font>
    <font>
      <i/>
      <sz val="10"/>
      <color rgb="FF666666"/>
      <name val="Arial"/>
      <charset val="1"/>
    </font>
    <font>
      <b/>
      <sz val="11"/>
      <color rgb="FFFFFFFF"/>
      <name val="Arial"/>
      <charset val="1"/>
    </font>
    <font>
      <b/>
      <sz val="11"/>
      <color rgb="FF000000"/>
      <name val="Arial"/>
      <charset val="1"/>
    </font>
    <font>
      <sz val="10"/>
      <color rgb="FF000000"/>
      <name val="Arial"/>
      <charset val="1"/>
    </font>
    <font>
      <sz val="10"/>
      <color rgb="FF008000"/>
      <name val="Arial"/>
      <charset val="1"/>
    </font>
    <font>
      <b/>
      <sz val="10"/>
      <color rgb="FF000000"/>
      <name val="Arial"/>
      <charset val="1"/>
    </font>
    <font>
      <b/>
      <sz val="10"/>
      <color rgb="FF008000"/>
      <name val="Arial"/>
      <charset val="1"/>
    </font>
    <font>
      <i/>
      <sz val="9"/>
      <name val="Arial"/>
      <charset val="1"/>
    </font>
    <font>
      <b/>
      <sz val="12"/>
      <color rgb="FF2F5496"/>
      <name val="Arial"/>
      <charset val="1"/>
    </font>
    <font>
      <sz val="10"/>
      <color rgb="FF0000FF"/>
      <name val="Arial"/>
      <charset val="1"/>
    </font>
    <font>
      <i/>
      <sz val="9"/>
      <color rgb="FF666666"/>
      <name val="Arial"/>
      <charset val="1"/>
    </font>
    <font>
      <sz val="9"/>
      <color rgb="FF999999"/>
      <name val="Arial"/>
      <charset val="1"/>
    </font>
    <font>
      <i/>
      <sz val="9"/>
      <color rgb="FFFF0000"/>
      <name val="Arial"/>
      <charset val="1"/>
    </font>
  </fonts>
  <fills count="11">
    <fill>
      <patternFill patternType="none"/>
    </fill>
    <fill>
      <patternFill patternType="gray125"/>
    </fill>
    <fill>
      <patternFill patternType="solid">
        <fgColor rgb="FF2F5496"/>
        <bgColor rgb="FF0066CC"/>
      </patternFill>
    </fill>
    <fill>
      <patternFill patternType="solid">
        <fgColor rgb="FFD6E4F0"/>
        <bgColor rgb="FFE2EFDA"/>
      </patternFill>
    </fill>
    <fill>
      <patternFill patternType="solid">
        <fgColor rgb="FFFFFF00"/>
        <bgColor rgb="FFFFFF00"/>
      </patternFill>
    </fill>
    <fill>
      <patternFill patternType="solid">
        <fgColor rgb="FF548235"/>
        <bgColor rgb="FF666666"/>
      </patternFill>
    </fill>
    <fill>
      <patternFill patternType="solid">
        <fgColor rgb="FFE2EFDA"/>
        <bgColor rgb="FFD6E4F0"/>
      </patternFill>
    </fill>
    <fill>
      <patternFill patternType="solid">
        <fgColor theme="5" tint="0.79998168889431442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double">
        <color auto="1"/>
      </bottom>
      <diagonal/>
    </border>
  </borders>
  <cellStyleXfs count="2">
    <xf numFmtId="0" fontId="0" fillId="0" borderId="0"/>
    <xf numFmtId="44" fontId="1" fillId="0" borderId="0" applyBorder="0" applyAlignment="0" applyProtection="0"/>
  </cellStyleXfs>
  <cellXfs count="51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5" fillId="3" borderId="0" xfId="0" applyFont="1" applyFill="1"/>
    <xf numFmtId="0" fontId="0" fillId="3" borderId="0" xfId="0" applyFill="1"/>
    <xf numFmtId="0" fontId="6" fillId="0" borderId="0" xfId="0" applyFont="1"/>
    <xf numFmtId="164" fontId="7" fillId="0" borderId="0" xfId="0" applyNumberFormat="1" applyFont="1"/>
    <xf numFmtId="164" fontId="6" fillId="0" borderId="0" xfId="0" applyNumberFormat="1" applyFont="1"/>
    <xf numFmtId="0" fontId="8" fillId="0" borderId="0" xfId="0" applyFont="1"/>
    <xf numFmtId="164" fontId="9" fillId="0" borderId="1" xfId="0" applyNumberFormat="1" applyFont="1" applyBorder="1"/>
    <xf numFmtId="164" fontId="8" fillId="0" borderId="1" xfId="0" applyNumberFormat="1" applyFont="1" applyBorder="1"/>
    <xf numFmtId="164" fontId="9" fillId="0" borderId="2" xfId="0" applyNumberFormat="1" applyFont="1" applyBorder="1"/>
    <xf numFmtId="164" fontId="8" fillId="0" borderId="2" xfId="0" applyNumberFormat="1" applyFont="1" applyBorder="1"/>
    <xf numFmtId="165" fontId="10" fillId="0" borderId="0" xfId="0" applyNumberFormat="1" applyFont="1"/>
    <xf numFmtId="0" fontId="10" fillId="0" borderId="0" xfId="0" applyFont="1"/>
    <xf numFmtId="165" fontId="6" fillId="0" borderId="0" xfId="0" applyNumberFormat="1" applyFont="1"/>
    <xf numFmtId="0" fontId="11" fillId="0" borderId="0" xfId="0" applyFont="1"/>
    <xf numFmtId="0" fontId="4" fillId="2" borderId="0" xfId="0" applyFont="1" applyFill="1" applyAlignment="1">
      <alignment horizontal="center" wrapText="1"/>
    </xf>
    <xf numFmtId="164" fontId="12" fillId="4" borderId="0" xfId="0" applyNumberFormat="1" applyFont="1" applyFill="1"/>
    <xf numFmtId="0" fontId="13" fillId="0" borderId="0" xfId="0" applyFont="1"/>
    <xf numFmtId="165" fontId="12" fillId="4" borderId="0" xfId="0" applyNumberFormat="1" applyFont="1" applyFill="1"/>
    <xf numFmtId="1" fontId="12" fillId="4" borderId="0" xfId="0" applyNumberFormat="1" applyFont="1" applyFill="1"/>
    <xf numFmtId="166" fontId="12" fillId="4" borderId="0" xfId="0" applyNumberFormat="1" applyFont="1" applyFill="1"/>
    <xf numFmtId="0" fontId="4" fillId="5" borderId="0" xfId="0" applyFont="1" applyFill="1" applyAlignment="1">
      <alignment horizontal="center" wrapText="1"/>
    </xf>
    <xf numFmtId="164" fontId="12" fillId="6" borderId="0" xfId="0" applyNumberFormat="1" applyFont="1" applyFill="1"/>
    <xf numFmtId="166" fontId="6" fillId="6" borderId="0" xfId="0" applyNumberFormat="1" applyFont="1" applyFill="1"/>
    <xf numFmtId="166" fontId="6" fillId="0" borderId="0" xfId="0" applyNumberFormat="1" applyFont="1"/>
    <xf numFmtId="166" fontId="8" fillId="0" borderId="1" xfId="0" applyNumberFormat="1" applyFont="1" applyBorder="1"/>
    <xf numFmtId="164" fontId="8" fillId="0" borderId="0" xfId="0" applyNumberFormat="1" applyFont="1"/>
    <xf numFmtId="164" fontId="9" fillId="6" borderId="2" xfId="0" applyNumberFormat="1" applyFont="1" applyFill="1" applyBorder="1"/>
    <xf numFmtId="166" fontId="7" fillId="6" borderId="0" xfId="0" applyNumberFormat="1" applyFont="1" applyFill="1"/>
    <xf numFmtId="166" fontId="12" fillId="6" borderId="0" xfId="0" applyNumberFormat="1" applyFont="1" applyFill="1"/>
    <xf numFmtId="166" fontId="14" fillId="0" borderId="0" xfId="0" applyNumberFormat="1" applyFont="1"/>
    <xf numFmtId="166" fontId="8" fillId="0" borderId="0" xfId="0" applyNumberFormat="1" applyFont="1"/>
    <xf numFmtId="167" fontId="6" fillId="0" borderId="0" xfId="0" applyNumberFormat="1" applyFont="1"/>
    <xf numFmtId="164" fontId="9" fillId="0" borderId="0" xfId="0" applyNumberFormat="1" applyFont="1"/>
    <xf numFmtId="164" fontId="12" fillId="0" borderId="0" xfId="0" applyNumberFormat="1" applyFont="1"/>
    <xf numFmtId="0" fontId="15" fillId="0" borderId="0" xfId="0" applyFont="1"/>
    <xf numFmtId="164" fontId="15" fillId="0" borderId="0" xfId="0" applyNumberFormat="1" applyFont="1"/>
    <xf numFmtId="165" fontId="12" fillId="7" borderId="0" xfId="0" applyNumberFormat="1" applyFont="1" applyFill="1"/>
    <xf numFmtId="164" fontId="12" fillId="7" borderId="0" xfId="0" applyNumberFormat="1" applyFont="1" applyFill="1"/>
    <xf numFmtId="168" fontId="12" fillId="4" borderId="0" xfId="0" applyNumberFormat="1" applyFont="1" applyFill="1"/>
    <xf numFmtId="166" fontId="6" fillId="8" borderId="0" xfId="0" applyNumberFormat="1" applyFont="1" applyFill="1"/>
    <xf numFmtId="166" fontId="6" fillId="9" borderId="0" xfId="0" applyNumberFormat="1" applyFont="1" applyFill="1"/>
    <xf numFmtId="164" fontId="6" fillId="8" borderId="0" xfId="0" applyNumberFormat="1" applyFont="1" applyFill="1"/>
    <xf numFmtId="164" fontId="6" fillId="9" borderId="0" xfId="0" applyNumberFormat="1" applyFont="1" applyFill="1"/>
    <xf numFmtId="166" fontId="6" fillId="10" borderId="0" xfId="0" applyNumberFormat="1" applyFont="1" applyFill="1"/>
    <xf numFmtId="0" fontId="0" fillId="8" borderId="0" xfId="0" applyFill="1"/>
    <xf numFmtId="169" fontId="1" fillId="8" borderId="0" xfId="1" applyNumberFormat="1" applyFill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548235"/>
      <rgbColor rgb="FF800080"/>
      <rgbColor rgb="FF008080"/>
      <rgbColor rgb="FFC0C0C0"/>
      <rgbColor rgb="FF808080"/>
      <rgbColor rgb="FF9999FF"/>
      <rgbColor rgb="FF7030A0"/>
      <rgbColor rgb="FFFFFF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BF8F00"/>
      <rgbColor rgb="FFFF6600"/>
      <rgbColor rgb="FF666666"/>
      <rgbColor rgb="FF999999"/>
      <rgbColor rgb="FF002060"/>
      <rgbColor rgb="FF00B050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2060"/>
  </sheetPr>
  <dimension ref="A1:G44"/>
  <sheetViews>
    <sheetView tabSelected="1" zoomScale="115" zoomScaleNormal="11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H24" sqref="H24"/>
    </sheetView>
  </sheetViews>
  <sheetFormatPr defaultColWidth="8.6328125" defaultRowHeight="14.5" x14ac:dyDescent="0.35"/>
  <cols>
    <col min="1" max="1" width="42" customWidth="1"/>
    <col min="2" max="7" width="18" customWidth="1"/>
  </cols>
  <sheetData>
    <row r="1" spans="1:7" ht="17.25" customHeight="1" x14ac:dyDescent="0.4">
      <c r="A1" s="1" t="s">
        <v>0</v>
      </c>
    </row>
    <row r="2" spans="1:7" ht="15" customHeight="1" x14ac:dyDescent="0.35">
      <c r="A2" s="2" t="s">
        <v>1</v>
      </c>
    </row>
    <row r="4" spans="1:7" ht="15" customHeight="1" x14ac:dyDescent="0.35">
      <c r="A4" s="3"/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</row>
    <row r="6" spans="1:7" ht="15" customHeight="1" x14ac:dyDescent="0.35">
      <c r="A6" s="5" t="s">
        <v>8</v>
      </c>
      <c r="B6" s="6"/>
      <c r="C6" s="6"/>
      <c r="D6" s="6"/>
      <c r="E6" s="6"/>
      <c r="F6" s="6"/>
      <c r="G6" s="6"/>
    </row>
    <row r="7" spans="1:7" ht="15" customHeight="1" x14ac:dyDescent="0.35">
      <c r="A7" s="7" t="s">
        <v>9</v>
      </c>
      <c r="B7" s="8">
        <f>SUM('P&amp;L'!B7:M7)</f>
        <v>945274</v>
      </c>
      <c r="C7" s="8">
        <f>SUM('P&amp;L'!N7:Y7)</f>
        <v>3440934</v>
      </c>
      <c r="D7" s="8">
        <f>SUM('P&amp;L'!Z7:AK7)</f>
        <v>7749378</v>
      </c>
      <c r="E7" s="8">
        <f>SUM('P&amp;L'!AL7:AW7)</f>
        <v>14601510</v>
      </c>
      <c r="F7" s="8">
        <f>SUM('P&amp;L'!AX7:BI7)</f>
        <v>26655552</v>
      </c>
      <c r="G7" s="9">
        <f>SUM(B7:F7)</f>
        <v>53392648</v>
      </c>
    </row>
    <row r="8" spans="1:7" ht="15" customHeight="1" x14ac:dyDescent="0.35">
      <c r="A8" s="7" t="s">
        <v>10</v>
      </c>
      <c r="B8" s="8">
        <f>SUM('P&amp;L'!B8:M8)</f>
        <v>157207</v>
      </c>
      <c r="C8" s="8">
        <f>SUM('P&amp;L'!N8:Y8)</f>
        <v>217727.99999999997</v>
      </c>
      <c r="D8" s="8">
        <f>SUM('P&amp;L'!Z8:AK8)</f>
        <v>290304</v>
      </c>
      <c r="E8" s="8">
        <f>SUM('P&amp;L'!AL8:AW8)</f>
        <v>362880</v>
      </c>
      <c r="F8" s="8">
        <f>SUM('P&amp;L'!AX8:BI8)</f>
        <v>435455.99999999994</v>
      </c>
      <c r="G8" s="9">
        <f>SUM(B8:F8)</f>
        <v>1463575</v>
      </c>
    </row>
    <row r="9" spans="1:7" ht="15" customHeight="1" x14ac:dyDescent="0.35">
      <c r="A9" s="7" t="s">
        <v>11</v>
      </c>
      <c r="B9" s="8">
        <f>SUM('P&amp;L'!B9:M9)</f>
        <v>0</v>
      </c>
      <c r="C9" s="8">
        <f>SUM('P&amp;L'!N9:Y9)</f>
        <v>0</v>
      </c>
      <c r="D9" s="8">
        <f>SUM('P&amp;L'!Z9:AK9)</f>
        <v>0</v>
      </c>
      <c r="E9" s="8">
        <f>SUM('P&amp;L'!AL9:AW9)</f>
        <v>172368</v>
      </c>
      <c r="F9" s="8">
        <f>SUM('P&amp;L'!AX9:BI9)</f>
        <v>438858</v>
      </c>
      <c r="G9" s="9">
        <f>SUM(B9:F9)</f>
        <v>611226</v>
      </c>
    </row>
    <row r="10" spans="1:7" ht="15" customHeight="1" x14ac:dyDescent="0.35">
      <c r="A10" s="10" t="s">
        <v>12</v>
      </c>
      <c r="B10" s="11">
        <f>SUM('P&amp;L'!B10:M10)</f>
        <v>1102481</v>
      </c>
      <c r="C10" s="11">
        <f>SUM('P&amp;L'!N10:Y10)</f>
        <v>3658662</v>
      </c>
      <c r="D10" s="11">
        <f>SUM('P&amp;L'!Z10:AK10)</f>
        <v>8039682</v>
      </c>
      <c r="E10" s="11">
        <f>SUM('P&amp;L'!AL10:AW10)</f>
        <v>15136758</v>
      </c>
      <c r="F10" s="11">
        <f>SUM('P&amp;L'!AX10:BI10)</f>
        <v>27529866</v>
      </c>
      <c r="G10" s="12">
        <f>SUM(B10:F10)</f>
        <v>55467449</v>
      </c>
    </row>
    <row r="12" spans="1:7" ht="15" customHeight="1" x14ac:dyDescent="0.35">
      <c r="A12" s="5" t="s">
        <v>13</v>
      </c>
      <c r="B12" s="6"/>
      <c r="C12" s="6"/>
      <c r="D12" s="6"/>
      <c r="E12" s="6"/>
      <c r="F12" s="6"/>
      <c r="G12" s="6"/>
    </row>
    <row r="13" spans="1:7" ht="15" customHeight="1" x14ac:dyDescent="0.35">
      <c r="A13" s="7" t="s">
        <v>14</v>
      </c>
      <c r="B13" s="8">
        <f>SUM('P&amp;L'!B13:M13)</f>
        <v>275620.25</v>
      </c>
      <c r="C13" s="8">
        <f>SUM('P&amp;L'!N13:Y13)</f>
        <v>914665.5</v>
      </c>
      <c r="D13" s="8">
        <f>SUM('P&amp;L'!Z13:AK13)</f>
        <v>2009920.5</v>
      </c>
      <c r="E13" s="8">
        <f>SUM('P&amp;L'!AL13:AW13)</f>
        <v>3784189.5</v>
      </c>
      <c r="F13" s="8">
        <f>SUM('P&amp;L'!AX13:BI13)</f>
        <v>6882466.5</v>
      </c>
      <c r="G13" s="9">
        <f>SUM(B13:F13)</f>
        <v>13866862.25</v>
      </c>
    </row>
    <row r="14" spans="1:7" ht="15" customHeight="1" x14ac:dyDescent="0.35">
      <c r="A14" s="7" t="s">
        <v>15</v>
      </c>
      <c r="B14" s="8">
        <f>SUM('P&amp;L'!B14:M14)</f>
        <v>87064</v>
      </c>
      <c r="C14" s="8">
        <f>SUM('P&amp;L'!N14:Y14)</f>
        <v>330108</v>
      </c>
      <c r="D14" s="8">
        <f>SUM('P&amp;L'!Z14:AK14)</f>
        <v>741236</v>
      </c>
      <c r="E14" s="8">
        <f>SUM('P&amp;L'!AL14:AW14)</f>
        <v>1396924</v>
      </c>
      <c r="F14" s="8">
        <f>SUM('P&amp;L'!AX14:BI14)</f>
        <v>2549256</v>
      </c>
      <c r="G14" s="9">
        <f>SUM(B14:F14)</f>
        <v>5104588</v>
      </c>
    </row>
    <row r="15" spans="1:7" ht="15" customHeight="1" x14ac:dyDescent="0.35">
      <c r="A15" s="7" t="s">
        <v>16</v>
      </c>
      <c r="B15" s="8">
        <f>SUM('P&amp;L'!B15:M15)</f>
        <v>28358.22</v>
      </c>
      <c r="C15" s="8">
        <f>SUM('P&amp;L'!N15:Y15)</f>
        <v>103228.01999999999</v>
      </c>
      <c r="D15" s="8">
        <f>SUM('P&amp;L'!Z15:AK15)</f>
        <v>232481.33999999997</v>
      </c>
      <c r="E15" s="8">
        <f>SUM('P&amp;L'!AL15:AW15)</f>
        <v>438045.3</v>
      </c>
      <c r="F15" s="8">
        <f>SUM('P&amp;L'!AX15:BI15)</f>
        <v>799666.56000000017</v>
      </c>
      <c r="G15" s="9">
        <f>SUM(B15:F15)</f>
        <v>1601779.44</v>
      </c>
    </row>
    <row r="16" spans="1:7" ht="15" customHeight="1" x14ac:dyDescent="0.35">
      <c r="A16" s="10" t="s">
        <v>17</v>
      </c>
      <c r="B16" s="11">
        <f>SUM('P&amp;L'!B16:M16)</f>
        <v>391042.46999999991</v>
      </c>
      <c r="C16" s="11">
        <f>SUM('P&amp;L'!N16:Y16)</f>
        <v>1348001.52</v>
      </c>
      <c r="D16" s="11">
        <f>SUM('P&amp;L'!Z16:AK16)</f>
        <v>2983637.8400000003</v>
      </c>
      <c r="E16" s="11">
        <f>SUM('P&amp;L'!AL16:AW16)</f>
        <v>5619158.8000000007</v>
      </c>
      <c r="F16" s="11">
        <f>SUM('P&amp;L'!AX16:BI16)</f>
        <v>10231389.060000001</v>
      </c>
      <c r="G16" s="12">
        <f>SUM(B16:F16)</f>
        <v>20573229.690000001</v>
      </c>
    </row>
    <row r="18" spans="1:7" ht="15" customHeight="1" x14ac:dyDescent="0.35">
      <c r="A18" s="10" t="s">
        <v>18</v>
      </c>
      <c r="B18" s="13">
        <f>SUM('P&amp;L'!B18:M18)</f>
        <v>711438.52999999991</v>
      </c>
      <c r="C18" s="13">
        <f>SUM('P&amp;L'!N18:Y18)</f>
        <v>2310660.48</v>
      </c>
      <c r="D18" s="13">
        <f>SUM('P&amp;L'!Z18:AK18)</f>
        <v>5056044.1600000011</v>
      </c>
      <c r="E18" s="13">
        <f>SUM('P&amp;L'!AL18:AW18)</f>
        <v>9517599.2000000011</v>
      </c>
      <c r="F18" s="13">
        <f>SUM('P&amp;L'!AX18:BI18)</f>
        <v>17298476.940000001</v>
      </c>
      <c r="G18" s="14">
        <f>SUM(B18:F18)</f>
        <v>34894219.310000002</v>
      </c>
    </row>
    <row r="19" spans="1:7" ht="15" customHeight="1" x14ac:dyDescent="0.35">
      <c r="A19" s="7" t="s">
        <v>19</v>
      </c>
      <c r="B19" s="15">
        <f t="shared" ref="B19:G19" si="0">IF(B10=0,0,B18/B10)</f>
        <v>0.64530683975506142</v>
      </c>
      <c r="C19" s="15">
        <f t="shared" si="0"/>
        <v>0.63155888136154692</v>
      </c>
      <c r="D19" s="15">
        <f t="shared" si="0"/>
        <v>0.62888608778307409</v>
      </c>
      <c r="E19" s="15">
        <f t="shared" si="0"/>
        <v>0.62877395542691517</v>
      </c>
      <c r="F19" s="15">
        <f t="shared" si="0"/>
        <v>0.62835311076341605</v>
      </c>
      <c r="G19" s="15">
        <f t="shared" si="0"/>
        <v>0.62909363850499056</v>
      </c>
    </row>
    <row r="21" spans="1:7" ht="15" customHeight="1" x14ac:dyDescent="0.35">
      <c r="A21" s="5" t="s">
        <v>20</v>
      </c>
      <c r="B21" s="6"/>
      <c r="C21" s="6"/>
      <c r="D21" s="6"/>
      <c r="E21" s="6"/>
      <c r="F21" s="6"/>
      <c r="G21" s="6"/>
    </row>
    <row r="22" spans="1:7" ht="15" customHeight="1" x14ac:dyDescent="0.35">
      <c r="A22" s="7" t="s">
        <v>21</v>
      </c>
      <c r="B22" s="8">
        <f>SUM('P&amp;L'!B22:M22)</f>
        <v>53050</v>
      </c>
      <c r="C22" s="8">
        <f>SUM('P&amp;L'!N22:Y22)</f>
        <v>368521.27176454698</v>
      </c>
      <c r="D22" s="8">
        <f>SUM('P&amp;L'!Z22:AK22)</f>
        <v>661811.2571720822</v>
      </c>
      <c r="E22" s="8">
        <f>SUM('P&amp;L'!AL22:AW22)</f>
        <v>1188517.9328251425</v>
      </c>
      <c r="F22" s="8">
        <f>SUM('P&amp;L'!AX22:BI22)</f>
        <v>2134407.448254778</v>
      </c>
      <c r="G22" s="9">
        <f t="shared" ref="G22:G31" si="1">SUM(B22:F22)</f>
        <v>4406307.9100165498</v>
      </c>
    </row>
    <row r="23" spans="1:7" ht="15" customHeight="1" x14ac:dyDescent="0.35">
      <c r="A23" s="7" t="s">
        <v>22</v>
      </c>
      <c r="B23" s="8">
        <f>SUM('P&amp;L'!B23:M23)</f>
        <v>180000</v>
      </c>
      <c r="C23" s="8">
        <f>SUM('P&amp;L'!N23:Y23)</f>
        <v>198000</v>
      </c>
      <c r="D23" s="8">
        <f>SUM('P&amp;L'!Z23:AK23)</f>
        <v>217800.00000000003</v>
      </c>
      <c r="E23" s="8">
        <f>SUM('P&amp;L'!AL23:AW23)</f>
        <v>239580.00000000003</v>
      </c>
      <c r="F23" s="8">
        <f>SUM('P&amp;L'!AX23:BI23)</f>
        <v>263538.00000000006</v>
      </c>
      <c r="G23" s="9">
        <f t="shared" si="1"/>
        <v>1098918</v>
      </c>
    </row>
    <row r="24" spans="1:7" ht="15" customHeight="1" x14ac:dyDescent="0.35">
      <c r="A24" s="7" t="s">
        <v>23</v>
      </c>
      <c r="B24" s="8">
        <f>SUM('P&amp;L'!B24:M24)</f>
        <v>120000</v>
      </c>
      <c r="C24" s="8">
        <f>SUM('P&amp;L'!N24:Y24)</f>
        <v>600000</v>
      </c>
      <c r="D24" s="8">
        <f>SUM('P&amp;L'!Z24:AK24)</f>
        <v>1200000</v>
      </c>
      <c r="E24" s="8">
        <f>SUM('P&amp;L'!AL24:AW24)</f>
        <v>2400000</v>
      </c>
      <c r="F24" s="8">
        <f>SUM('P&amp;L'!AX24:BI24)</f>
        <v>4800000</v>
      </c>
      <c r="G24" s="9">
        <f t="shared" si="1"/>
        <v>9120000</v>
      </c>
    </row>
    <row r="25" spans="1:7" ht="15" customHeight="1" x14ac:dyDescent="0.35">
      <c r="A25" s="7" t="s">
        <v>24</v>
      </c>
      <c r="B25" s="8">
        <f>SUM('P&amp;L'!B25:M25)</f>
        <v>12000</v>
      </c>
      <c r="C25" s="8">
        <f>SUM('P&amp;L'!N25:Y25)</f>
        <v>13200</v>
      </c>
      <c r="D25" s="8">
        <f>SUM('P&amp;L'!Z25:AK25)</f>
        <v>14520.000000000002</v>
      </c>
      <c r="E25" s="8">
        <f>SUM('P&amp;L'!AL25:AW25)</f>
        <v>15972.000000000002</v>
      </c>
      <c r="F25" s="8">
        <f>SUM('P&amp;L'!AX25:BI25)</f>
        <v>17569.200000000004</v>
      </c>
      <c r="G25" s="9">
        <f t="shared" si="1"/>
        <v>73261.200000000012</v>
      </c>
    </row>
    <row r="26" spans="1:7" ht="15" customHeight="1" x14ac:dyDescent="0.35">
      <c r="A26" s="7" t="s">
        <v>25</v>
      </c>
      <c r="B26" s="8">
        <f>SUM('P&amp;L'!B26:M26)</f>
        <v>96000</v>
      </c>
      <c r="C26" s="8">
        <f>SUM('P&amp;L'!N26:Y26)</f>
        <v>100800</v>
      </c>
      <c r="D26" s="8">
        <f>SUM('P&amp;L'!Z26:AK26)</f>
        <v>105840</v>
      </c>
      <c r="E26" s="8">
        <f>SUM('P&amp;L'!AL26:AW26)</f>
        <v>111132.00000000001</v>
      </c>
      <c r="F26" s="8">
        <f>SUM('P&amp;L'!AX26:BI26)</f>
        <v>116688.60000000002</v>
      </c>
      <c r="G26" s="9">
        <f t="shared" si="1"/>
        <v>530460.6</v>
      </c>
    </row>
    <row r="27" spans="1:7" ht="15" customHeight="1" x14ac:dyDescent="0.35">
      <c r="A27" s="7" t="s">
        <v>26</v>
      </c>
      <c r="B27" s="8">
        <f>SUM('P&amp;L'!B27:M27)</f>
        <v>60000</v>
      </c>
      <c r="C27" s="8">
        <f>SUM('P&amp;L'!N27:Y27)</f>
        <v>63000</v>
      </c>
      <c r="D27" s="8">
        <f>SUM('P&amp;L'!Z27:AK27)</f>
        <v>66150</v>
      </c>
      <c r="E27" s="8">
        <f>SUM('P&amp;L'!AL27:AW27)</f>
        <v>69457.500000000015</v>
      </c>
      <c r="F27" s="8">
        <f>SUM('P&amp;L'!AX27:BI27)</f>
        <v>72930.375</v>
      </c>
      <c r="G27" s="9">
        <f t="shared" si="1"/>
        <v>331537.875</v>
      </c>
    </row>
    <row r="28" spans="1:7" ht="15" customHeight="1" x14ac:dyDescent="0.35">
      <c r="A28" s="7" t="s">
        <v>27</v>
      </c>
      <c r="B28" s="8">
        <f>SUM('P&amp;L'!B28:M28)</f>
        <v>60000</v>
      </c>
      <c r="C28" s="8">
        <f>SUM('P&amp;L'!N28:Y28)</f>
        <v>60000</v>
      </c>
      <c r="D28" s="8">
        <f>SUM('P&amp;L'!Z28:AK28)</f>
        <v>60000</v>
      </c>
      <c r="E28" s="8">
        <f>SUM('P&amp;L'!AL28:AW28)</f>
        <v>60000</v>
      </c>
      <c r="F28" s="8">
        <f>SUM('P&amp;L'!AX28:BI28)</f>
        <v>60000</v>
      </c>
      <c r="G28" s="9">
        <f t="shared" si="1"/>
        <v>300000</v>
      </c>
    </row>
    <row r="29" spans="1:7" ht="15" customHeight="1" x14ac:dyDescent="0.35">
      <c r="A29" s="7" t="s">
        <v>28</v>
      </c>
      <c r="B29" s="8">
        <f>SUM('P&amp;L'!B29:M29)</f>
        <v>0</v>
      </c>
      <c r="C29" s="8">
        <f>SUM('P&amp;L'!N29:Y29)</f>
        <v>0</v>
      </c>
      <c r="D29" s="8">
        <f>SUM('P&amp;L'!Z29:AK29)</f>
        <v>0</v>
      </c>
      <c r="E29" s="8">
        <f>SUM('P&amp;L'!AL29:AW29)</f>
        <v>180000</v>
      </c>
      <c r="F29" s="8">
        <f>SUM('P&amp;L'!AX29:BI29)</f>
        <v>180000</v>
      </c>
      <c r="G29" s="9">
        <f t="shared" si="1"/>
        <v>360000</v>
      </c>
    </row>
    <row r="30" spans="1:7" ht="15" customHeight="1" x14ac:dyDescent="0.35">
      <c r="A30" s="7" t="s">
        <v>29</v>
      </c>
      <c r="B30" s="8">
        <f>SUM('P&amp;L'!B30:M30)</f>
        <v>6000</v>
      </c>
      <c r="C30" s="8">
        <f>SUM('P&amp;L'!N30:Y30)</f>
        <v>6000</v>
      </c>
      <c r="D30" s="8">
        <f>SUM('P&amp;L'!Z30:AK30)</f>
        <v>6000</v>
      </c>
      <c r="E30" s="8">
        <f>SUM('P&amp;L'!AL30:AW30)</f>
        <v>6000</v>
      </c>
      <c r="F30" s="8">
        <f>SUM('P&amp;L'!AX30:BI30)</f>
        <v>6000</v>
      </c>
      <c r="G30" s="9">
        <f t="shared" si="1"/>
        <v>30000</v>
      </c>
    </row>
    <row r="31" spans="1:7" ht="15" customHeight="1" x14ac:dyDescent="0.35">
      <c r="A31" s="10" t="s">
        <v>30</v>
      </c>
      <c r="B31" s="11">
        <f>SUM('P&amp;L'!B32:M32)</f>
        <v>587050</v>
      </c>
      <c r="C31" s="11">
        <f>SUM('P&amp;L'!N32:Y32)</f>
        <v>1409521.2717645471</v>
      </c>
      <c r="D31" s="11">
        <f>SUM('P&amp;L'!Z32:AK32)</f>
        <v>2332121.2571720826</v>
      </c>
      <c r="E31" s="11">
        <f>SUM('P&amp;L'!AL32:AW32)</f>
        <v>4270659.4328251425</v>
      </c>
      <c r="F31" s="11">
        <f>SUM('P&amp;L'!AX32:BI32)</f>
        <v>7651133.6232547779</v>
      </c>
      <c r="G31" s="12">
        <f t="shared" si="1"/>
        <v>16250485.58501655</v>
      </c>
    </row>
    <row r="33" spans="1:7" ht="15" customHeight="1" x14ac:dyDescent="0.35">
      <c r="A33" s="10" t="s">
        <v>31</v>
      </c>
      <c r="B33" s="11">
        <f>SUM('P&amp;L'!B34:M34)</f>
        <v>130388.52999999998</v>
      </c>
      <c r="C33" s="11">
        <f>SUM('P&amp;L'!N34:Y34)</f>
        <v>907139.20823545288</v>
      </c>
      <c r="D33" s="11">
        <f>SUM('P&amp;L'!Z34:AK34)</f>
        <v>2729922.9028279176</v>
      </c>
      <c r="E33" s="11">
        <f>SUM('P&amp;L'!AL34:AW34)</f>
        <v>5252939.7671748567</v>
      </c>
      <c r="F33" s="11">
        <f>SUM('P&amp;L'!AX34:BI34)</f>
        <v>9653343.3167452216</v>
      </c>
      <c r="G33" s="12">
        <f>SUM(B33:F33)</f>
        <v>18673733.72498345</v>
      </c>
    </row>
    <row r="34" spans="1:7" ht="15" customHeight="1" x14ac:dyDescent="0.35">
      <c r="A34" s="7" t="s">
        <v>32</v>
      </c>
      <c r="B34" s="15">
        <f t="shared" ref="B34:G34" si="2">IF(B10=0,0,B33/B10)</f>
        <v>0.11826827854629693</v>
      </c>
      <c r="C34" s="15">
        <f t="shared" si="2"/>
        <v>0.2479428841022901</v>
      </c>
      <c r="D34" s="15">
        <f t="shared" si="2"/>
        <v>0.33955607980861902</v>
      </c>
      <c r="E34" s="15">
        <f t="shared" si="2"/>
        <v>0.34703202410812517</v>
      </c>
      <c r="F34" s="15">
        <f t="shared" si="2"/>
        <v>0.35064984757808926</v>
      </c>
      <c r="G34" s="15">
        <f t="shared" si="2"/>
        <v>0.33666112398613196</v>
      </c>
    </row>
    <row r="36" spans="1:7" ht="15" customHeight="1" x14ac:dyDescent="0.35">
      <c r="A36" s="10" t="s">
        <v>33</v>
      </c>
      <c r="B36" s="11">
        <f>SUM('P&amp;L'!B37:M37)</f>
        <v>124388.52999999998</v>
      </c>
      <c r="C36" s="11">
        <f>SUM('P&amp;L'!N37:Y37)</f>
        <v>901139.20823545288</v>
      </c>
      <c r="D36" s="11">
        <f>SUM('P&amp;L'!Z37:AK37)</f>
        <v>2723922.9028279176</v>
      </c>
      <c r="E36" s="11">
        <f>SUM('P&amp;L'!AL37:AW37)</f>
        <v>5246939.7671748567</v>
      </c>
      <c r="F36" s="11">
        <f>SUM('P&amp;L'!AX37:BI37)</f>
        <v>9647343.3167452216</v>
      </c>
      <c r="G36" s="12">
        <f>SUM(B36:F36)</f>
        <v>18643733.72498345</v>
      </c>
    </row>
    <row r="37" spans="1:7" ht="15" customHeight="1" x14ac:dyDescent="0.35">
      <c r="A37" s="7" t="s">
        <v>34</v>
      </c>
      <c r="B37" s="8">
        <f>SUM('P&amp;L'!B38:M38)</f>
        <v>49661.617499999993</v>
      </c>
      <c r="C37" s="8">
        <f>SUM('P&amp;L'!N38:Y38)</f>
        <v>231168.01830886322</v>
      </c>
      <c r="D37" s="8">
        <f>SUM('P&amp;L'!Z38:AK38)</f>
        <v>680980.7257069794</v>
      </c>
      <c r="E37" s="8">
        <f>SUM('P&amp;L'!AL38:AW38)</f>
        <v>1311734.9417937142</v>
      </c>
      <c r="F37" s="8">
        <f>SUM('P&amp;L'!AX38:BI38)</f>
        <v>2411835.8291863054</v>
      </c>
      <c r="G37" s="9">
        <f>SUM(B37:F37)</f>
        <v>4685381.1324958624</v>
      </c>
    </row>
    <row r="39" spans="1:7" ht="15" customHeight="1" x14ac:dyDescent="0.35">
      <c r="A39" s="10" t="s">
        <v>35</v>
      </c>
      <c r="B39" s="13">
        <f>SUM('P&amp;L'!B40:M40)</f>
        <v>74726.912499999991</v>
      </c>
      <c r="C39" s="13">
        <f>SUM('P&amp;L'!N40:Y40)</f>
        <v>669971.18992658972</v>
      </c>
      <c r="D39" s="13">
        <f>SUM('P&amp;L'!Z40:AK40)</f>
        <v>2042942.1771209384</v>
      </c>
      <c r="E39" s="13">
        <f>SUM('P&amp;L'!AL40:AW40)</f>
        <v>3935204.8253811435</v>
      </c>
      <c r="F39" s="13">
        <f>SUM('P&amp;L'!AX40:BI40)</f>
        <v>7235507.4875589171</v>
      </c>
      <c r="G39" s="14">
        <f>SUM(B39:F39)</f>
        <v>13958352.592487589</v>
      </c>
    </row>
    <row r="40" spans="1:7" ht="15" customHeight="1" x14ac:dyDescent="0.35">
      <c r="A40" s="7" t="s">
        <v>36</v>
      </c>
      <c r="B40" s="15">
        <f t="shared" ref="B40:G40" si="3">IF(B10=0,0,B39/B10)</f>
        <v>6.7780680574086982E-2</v>
      </c>
      <c r="C40" s="15">
        <f t="shared" si="3"/>
        <v>0.18311918125440113</v>
      </c>
      <c r="D40" s="15">
        <f t="shared" si="3"/>
        <v>0.25410733622560427</v>
      </c>
      <c r="E40" s="15">
        <f t="shared" si="3"/>
        <v>0.25997672852939469</v>
      </c>
      <c r="F40" s="15">
        <f t="shared" si="3"/>
        <v>0.26282392684217631</v>
      </c>
      <c r="G40" s="15">
        <f t="shared" si="3"/>
        <v>0.2516494420446051</v>
      </c>
    </row>
    <row r="42" spans="1:7" ht="15" customHeight="1" x14ac:dyDescent="0.35">
      <c r="A42" s="5" t="s">
        <v>37</v>
      </c>
      <c r="B42" s="6"/>
      <c r="C42" s="6"/>
      <c r="D42" s="6"/>
      <c r="E42" s="6"/>
      <c r="F42" s="6"/>
      <c r="G42" s="6"/>
    </row>
    <row r="43" spans="1:7" ht="15" customHeight="1" x14ac:dyDescent="0.35">
      <c r="A43" s="7" t="s">
        <v>38</v>
      </c>
      <c r="B43" s="16" t="s">
        <v>39</v>
      </c>
      <c r="C43" s="17">
        <f>IF(B10=0,0,(C10-B10)/B10)</f>
        <v>2.3185714765152414</v>
      </c>
      <c r="D43" s="17">
        <f>IF(C10=0,0,(D10-C10)/C10)</f>
        <v>1.197437751833867</v>
      </c>
      <c r="E43" s="17">
        <f>IF(D10=0,0,(E10-D10)/D10)</f>
        <v>0.88275581049101193</v>
      </c>
      <c r="F43" s="17">
        <f>IF(E10=0,0,(F10-E10)/E10)</f>
        <v>0.81874256032896875</v>
      </c>
    </row>
    <row r="44" spans="1:7" ht="15" customHeight="1" x14ac:dyDescent="0.35">
      <c r="A44" s="7" t="s">
        <v>40</v>
      </c>
      <c r="B44" s="16" t="s">
        <v>39</v>
      </c>
      <c r="C44" s="17">
        <f>IF(B39=0,0,(C39-B39)/B39)</f>
        <v>7.9655944225795468</v>
      </c>
      <c r="D44" s="17">
        <f>IF(C39=0,0,(D39-C39)/C39)</f>
        <v>2.0492985487104125</v>
      </c>
      <c r="E44" s="17">
        <f>IF(D39=0,0,(E39-D39)/D39)</f>
        <v>0.92624386017959559</v>
      </c>
      <c r="F44" s="17">
        <f>IF(E39=0,0,(F39-E39)/E39)</f>
        <v>0.83866096140449908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F5496"/>
  </sheetPr>
  <dimension ref="B1:D63"/>
  <sheetViews>
    <sheetView topLeftCell="A9" zoomScaleNormal="100" workbookViewId="0">
      <selection activeCell="D49" sqref="D49"/>
    </sheetView>
  </sheetViews>
  <sheetFormatPr defaultColWidth="8.6328125" defaultRowHeight="14.5" x14ac:dyDescent="0.35"/>
  <cols>
    <col min="1" max="1" width="5" customWidth="1"/>
    <col min="2" max="2" width="48" customWidth="1"/>
    <col min="3" max="3" width="18" customWidth="1"/>
    <col min="4" max="4" width="60" customWidth="1"/>
  </cols>
  <sheetData>
    <row r="1" spans="2:4" ht="17.25" customHeight="1" x14ac:dyDescent="0.4">
      <c r="B1" s="1" t="s">
        <v>41</v>
      </c>
    </row>
    <row r="2" spans="2:4" ht="15" customHeight="1" x14ac:dyDescent="0.35">
      <c r="B2" s="18" t="s">
        <v>42</v>
      </c>
    </row>
    <row r="3" spans="2:4" ht="15" customHeight="1" x14ac:dyDescent="0.35">
      <c r="B3" s="2" t="s">
        <v>43</v>
      </c>
    </row>
    <row r="5" spans="2:4" ht="15" customHeight="1" x14ac:dyDescent="0.35">
      <c r="B5" s="19" t="s">
        <v>44</v>
      </c>
      <c r="C5" s="19" t="s">
        <v>45</v>
      </c>
      <c r="D5" s="19" t="s">
        <v>46</v>
      </c>
    </row>
    <row r="6" spans="2:4" ht="15" customHeight="1" x14ac:dyDescent="0.35">
      <c r="B6" s="7" t="s">
        <v>47</v>
      </c>
      <c r="C6" s="20">
        <v>126</v>
      </c>
      <c r="D6" s="21" t="s">
        <v>48</v>
      </c>
    </row>
    <row r="7" spans="2:4" ht="15" customHeight="1" x14ac:dyDescent="0.35">
      <c r="B7" s="7" t="s">
        <v>49</v>
      </c>
      <c r="C7" s="20">
        <v>40</v>
      </c>
      <c r="D7" s="21" t="s">
        <v>50</v>
      </c>
    </row>
    <row r="8" spans="2:4" ht="15" customHeight="1" x14ac:dyDescent="0.35">
      <c r="B8" s="7" t="s">
        <v>51</v>
      </c>
      <c r="C8" s="22">
        <v>0.4</v>
      </c>
      <c r="D8" s="21" t="s">
        <v>343</v>
      </c>
    </row>
    <row r="9" spans="2:4" ht="15" customHeight="1" x14ac:dyDescent="0.35">
      <c r="B9" s="7" t="s">
        <v>52</v>
      </c>
      <c r="C9" s="41">
        <v>0.1</v>
      </c>
      <c r="D9" s="21" t="s">
        <v>53</v>
      </c>
    </row>
    <row r="10" spans="2:4" ht="15" customHeight="1" x14ac:dyDescent="0.35">
      <c r="B10" s="7" t="s">
        <v>54</v>
      </c>
      <c r="C10" s="41">
        <v>0.05</v>
      </c>
      <c r="D10" s="21" t="s">
        <v>55</v>
      </c>
    </row>
    <row r="11" spans="2:4" ht="15" customHeight="1" x14ac:dyDescent="0.35">
      <c r="B11" s="7" t="s">
        <v>56</v>
      </c>
      <c r="C11" s="20">
        <v>20000</v>
      </c>
      <c r="D11" s="21" t="s">
        <v>57</v>
      </c>
    </row>
    <row r="12" spans="2:4" ht="15" customHeight="1" x14ac:dyDescent="0.35">
      <c r="B12" s="7" t="s">
        <v>58</v>
      </c>
      <c r="C12" s="22">
        <v>0.05</v>
      </c>
      <c r="D12" s="21" t="s">
        <v>59</v>
      </c>
    </row>
    <row r="13" spans="2:4" ht="15" customHeight="1" x14ac:dyDescent="0.35">
      <c r="B13" s="7" t="s">
        <v>60</v>
      </c>
      <c r="C13" s="42">
        <v>12</v>
      </c>
      <c r="D13" s="21" t="s">
        <v>61</v>
      </c>
    </row>
    <row r="14" spans="2:4" ht="15" customHeight="1" x14ac:dyDescent="0.35">
      <c r="B14" s="7" t="s">
        <v>62</v>
      </c>
      <c r="C14" s="22">
        <v>0.03</v>
      </c>
      <c r="D14" s="21" t="s">
        <v>63</v>
      </c>
    </row>
    <row r="15" spans="2:4" ht="15" customHeight="1" x14ac:dyDescent="0.35">
      <c r="B15" s="7" t="s">
        <v>64</v>
      </c>
      <c r="C15" s="22">
        <v>0.25</v>
      </c>
      <c r="D15" s="21" t="s">
        <v>65</v>
      </c>
    </row>
    <row r="16" spans="2:4" ht="15" customHeight="1" x14ac:dyDescent="0.35">
      <c r="B16" s="7" t="s">
        <v>66</v>
      </c>
      <c r="C16" s="23">
        <v>3</v>
      </c>
      <c r="D16" s="21" t="s">
        <v>67</v>
      </c>
    </row>
    <row r="18" spans="2:4" ht="15" customHeight="1" x14ac:dyDescent="0.35">
      <c r="B18" s="19" t="s">
        <v>68</v>
      </c>
      <c r="C18" s="19" t="s">
        <v>45</v>
      </c>
      <c r="D18" s="19" t="s">
        <v>46</v>
      </c>
    </row>
    <row r="19" spans="2:4" ht="15" customHeight="1" x14ac:dyDescent="0.35">
      <c r="B19" s="7" t="s">
        <v>69</v>
      </c>
      <c r="C19" s="43">
        <v>37.799999999999997</v>
      </c>
      <c r="D19" s="21" t="s">
        <v>70</v>
      </c>
    </row>
    <row r="20" spans="2:4" ht="15" customHeight="1" x14ac:dyDescent="0.35">
      <c r="B20" s="7" t="s">
        <v>71</v>
      </c>
      <c r="C20" s="24">
        <v>12</v>
      </c>
      <c r="D20" s="21" t="s">
        <v>72</v>
      </c>
    </row>
    <row r="21" spans="2:4" ht="15" customHeight="1" x14ac:dyDescent="0.35">
      <c r="B21" s="7" t="s">
        <v>73</v>
      </c>
      <c r="C21" s="24">
        <v>36</v>
      </c>
      <c r="D21" s="21" t="s">
        <v>74</v>
      </c>
    </row>
    <row r="22" spans="2:4" ht="15" customHeight="1" x14ac:dyDescent="0.35">
      <c r="B22" s="7" t="s">
        <v>75</v>
      </c>
      <c r="C22" s="22">
        <v>0.25</v>
      </c>
      <c r="D22" s="21" t="s">
        <v>76</v>
      </c>
    </row>
    <row r="23" spans="2:4" ht="15" customHeight="1" x14ac:dyDescent="0.35">
      <c r="B23" s="7" t="s">
        <v>77</v>
      </c>
      <c r="C23" s="42">
        <v>5</v>
      </c>
      <c r="D23" s="21" t="s">
        <v>78</v>
      </c>
    </row>
    <row r="24" spans="2:4" ht="15" customHeight="1" x14ac:dyDescent="0.35">
      <c r="B24" s="7" t="s">
        <v>79</v>
      </c>
      <c r="C24" s="22">
        <v>0</v>
      </c>
      <c r="D24" s="21" t="s">
        <v>80</v>
      </c>
    </row>
    <row r="25" spans="2:4" ht="15" customHeight="1" x14ac:dyDescent="0.35">
      <c r="B25" s="7" t="s">
        <v>81</v>
      </c>
      <c r="C25" s="23">
        <v>30</v>
      </c>
      <c r="D25" s="21" t="s">
        <v>82</v>
      </c>
    </row>
    <row r="26" spans="2:4" ht="15" customHeight="1" x14ac:dyDescent="0.35">
      <c r="B26" s="7" t="s">
        <v>83</v>
      </c>
      <c r="C26" s="24">
        <v>3</v>
      </c>
      <c r="D26" s="21" t="s">
        <v>84</v>
      </c>
    </row>
    <row r="27" spans="2:4" ht="15" customHeight="1" x14ac:dyDescent="0.35">
      <c r="B27" s="7" t="s">
        <v>85</v>
      </c>
      <c r="C27" s="24">
        <v>5</v>
      </c>
      <c r="D27" s="21" t="s">
        <v>86</v>
      </c>
    </row>
    <row r="28" spans="2:4" ht="15" customHeight="1" x14ac:dyDescent="0.35">
      <c r="B28" s="7" t="s">
        <v>87</v>
      </c>
      <c r="C28" s="22">
        <v>0.25</v>
      </c>
      <c r="D28" s="21" t="s">
        <v>88</v>
      </c>
    </row>
    <row r="30" spans="2:4" ht="15" customHeight="1" x14ac:dyDescent="0.35">
      <c r="B30" s="19" t="s">
        <v>89</v>
      </c>
      <c r="C30" s="19" t="s">
        <v>45</v>
      </c>
      <c r="D30" s="19" t="s">
        <v>46</v>
      </c>
    </row>
    <row r="31" spans="2:4" ht="15" customHeight="1" x14ac:dyDescent="0.35">
      <c r="B31" s="7" t="s">
        <v>90</v>
      </c>
      <c r="C31" s="24">
        <v>37</v>
      </c>
      <c r="D31" s="21" t="s">
        <v>91</v>
      </c>
    </row>
    <row r="32" spans="2:4" ht="15" customHeight="1" x14ac:dyDescent="0.35">
      <c r="B32" s="7" t="s">
        <v>92</v>
      </c>
      <c r="C32" s="43">
        <v>37.799999999999997</v>
      </c>
      <c r="D32" s="21" t="s">
        <v>93</v>
      </c>
    </row>
    <row r="33" spans="2:4" ht="15" customHeight="1" x14ac:dyDescent="0.35">
      <c r="B33" s="7" t="s">
        <v>94</v>
      </c>
      <c r="C33" s="22">
        <v>0.25</v>
      </c>
      <c r="D33" s="21" t="s">
        <v>95</v>
      </c>
    </row>
    <row r="34" spans="2:4" ht="15" customHeight="1" x14ac:dyDescent="0.35">
      <c r="B34" s="7" t="s">
        <v>96</v>
      </c>
      <c r="C34" s="42">
        <v>6</v>
      </c>
      <c r="D34" s="21" t="s">
        <v>97</v>
      </c>
    </row>
    <row r="35" spans="2:4" ht="15" customHeight="1" x14ac:dyDescent="0.35">
      <c r="B35" s="7" t="s">
        <v>98</v>
      </c>
      <c r="C35" s="22">
        <v>0</v>
      </c>
      <c r="D35" s="21" t="s">
        <v>99</v>
      </c>
    </row>
    <row r="36" spans="2:4" ht="15" customHeight="1" x14ac:dyDescent="0.35">
      <c r="B36" s="7" t="s">
        <v>100</v>
      </c>
      <c r="C36" s="23">
        <v>45</v>
      </c>
      <c r="D36" s="21" t="s">
        <v>101</v>
      </c>
    </row>
    <row r="37" spans="2:4" ht="15" customHeight="1" x14ac:dyDescent="0.35">
      <c r="B37" s="7" t="s">
        <v>102</v>
      </c>
      <c r="C37" s="24">
        <v>20</v>
      </c>
      <c r="D37" s="21" t="s">
        <v>103</v>
      </c>
    </row>
    <row r="38" spans="2:4" ht="15" customHeight="1" x14ac:dyDescent="0.35">
      <c r="B38" s="7" t="s">
        <v>104</v>
      </c>
      <c r="C38" s="24">
        <v>5</v>
      </c>
      <c r="D38" s="21" t="s">
        <v>105</v>
      </c>
    </row>
    <row r="39" spans="2:4" ht="15" customHeight="1" x14ac:dyDescent="0.35">
      <c r="B39" s="7" t="s">
        <v>106</v>
      </c>
      <c r="C39" s="24">
        <v>8</v>
      </c>
      <c r="D39" s="21" t="s">
        <v>107</v>
      </c>
    </row>
    <row r="40" spans="2:4" ht="15" customHeight="1" x14ac:dyDescent="0.35">
      <c r="B40" s="7" t="s">
        <v>108</v>
      </c>
      <c r="C40" s="22">
        <v>0.1</v>
      </c>
      <c r="D40" s="21" t="s">
        <v>109</v>
      </c>
    </row>
    <row r="42" spans="2:4" ht="15" customHeight="1" x14ac:dyDescent="0.35">
      <c r="B42" s="19" t="s">
        <v>110</v>
      </c>
      <c r="C42" s="19" t="s">
        <v>45</v>
      </c>
      <c r="D42" s="19" t="s">
        <v>46</v>
      </c>
    </row>
    <row r="43" spans="2:4" ht="15" customHeight="1" x14ac:dyDescent="0.35">
      <c r="B43" s="7" t="s">
        <v>111</v>
      </c>
      <c r="C43" s="20">
        <v>15000</v>
      </c>
      <c r="D43" s="21" t="s">
        <v>112</v>
      </c>
    </row>
    <row r="44" spans="2:4" ht="15" customHeight="1" x14ac:dyDescent="0.35">
      <c r="B44" s="7" t="s">
        <v>113</v>
      </c>
      <c r="C44" s="22">
        <v>0.1</v>
      </c>
      <c r="D44" s="21" t="s">
        <v>114</v>
      </c>
    </row>
    <row r="46" spans="2:4" ht="15" customHeight="1" x14ac:dyDescent="0.35">
      <c r="B46" s="19" t="s">
        <v>115</v>
      </c>
      <c r="C46" s="19" t="s">
        <v>45</v>
      </c>
      <c r="D46" s="19" t="s">
        <v>46</v>
      </c>
    </row>
    <row r="47" spans="2:4" ht="15" customHeight="1" x14ac:dyDescent="0.35">
      <c r="B47" s="7" t="s">
        <v>116</v>
      </c>
      <c r="C47" s="20">
        <v>25000</v>
      </c>
      <c r="D47" s="21" t="s">
        <v>117</v>
      </c>
    </row>
    <row r="48" spans="2:4" ht="15" customHeight="1" x14ac:dyDescent="0.35">
      <c r="B48" s="7" t="s">
        <v>118</v>
      </c>
      <c r="C48" s="22">
        <v>1</v>
      </c>
      <c r="D48" s="21" t="s">
        <v>344</v>
      </c>
    </row>
    <row r="49" spans="2:4" ht="15" customHeight="1" x14ac:dyDescent="0.35">
      <c r="B49" s="7" t="s">
        <v>120</v>
      </c>
      <c r="C49" s="20">
        <v>1000</v>
      </c>
      <c r="D49" s="21" t="s">
        <v>121</v>
      </c>
    </row>
    <row r="50" spans="2:4" ht="15" customHeight="1" x14ac:dyDescent="0.35">
      <c r="B50" s="7" t="s">
        <v>122</v>
      </c>
      <c r="C50" s="22">
        <v>0.1</v>
      </c>
      <c r="D50" s="21" t="s">
        <v>123</v>
      </c>
    </row>
    <row r="51" spans="2:4" ht="15" customHeight="1" x14ac:dyDescent="0.35">
      <c r="B51" s="7" t="s">
        <v>124</v>
      </c>
      <c r="C51" s="20">
        <v>8000</v>
      </c>
      <c r="D51" s="21" t="s">
        <v>125</v>
      </c>
    </row>
    <row r="52" spans="2:4" ht="15" customHeight="1" x14ac:dyDescent="0.35">
      <c r="B52" s="7" t="s">
        <v>126</v>
      </c>
      <c r="C52" s="22">
        <v>0.05</v>
      </c>
      <c r="D52" s="21" t="s">
        <v>119</v>
      </c>
    </row>
    <row r="53" spans="2:4" ht="15" customHeight="1" x14ac:dyDescent="0.35">
      <c r="B53" s="7" t="s">
        <v>127</v>
      </c>
      <c r="C53" s="20">
        <v>5000</v>
      </c>
      <c r="D53" s="21" t="s">
        <v>128</v>
      </c>
    </row>
    <row r="54" spans="2:4" ht="15" customHeight="1" x14ac:dyDescent="0.35">
      <c r="B54" s="7" t="s">
        <v>129</v>
      </c>
      <c r="C54" s="22">
        <v>0.05</v>
      </c>
      <c r="D54" s="21" t="s">
        <v>119</v>
      </c>
    </row>
    <row r="55" spans="2:4" ht="15" customHeight="1" x14ac:dyDescent="0.35">
      <c r="B55" s="7" t="s">
        <v>130</v>
      </c>
      <c r="C55" s="20">
        <v>5000</v>
      </c>
      <c r="D55" s="21" t="s">
        <v>131</v>
      </c>
    </row>
    <row r="56" spans="2:4" ht="15" customHeight="1" x14ac:dyDescent="0.35">
      <c r="B56" s="7" t="s">
        <v>132</v>
      </c>
      <c r="C56" s="20">
        <v>15000</v>
      </c>
      <c r="D56" s="21" t="s">
        <v>133</v>
      </c>
    </row>
    <row r="58" spans="2:4" ht="15" customHeight="1" x14ac:dyDescent="0.35">
      <c r="B58" s="19" t="s">
        <v>134</v>
      </c>
      <c r="C58" s="19" t="s">
        <v>45</v>
      </c>
      <c r="D58" s="19" t="s">
        <v>46</v>
      </c>
    </row>
    <row r="59" spans="2:4" ht="15" customHeight="1" x14ac:dyDescent="0.35">
      <c r="B59" s="7" t="s">
        <v>135</v>
      </c>
      <c r="C59" s="23">
        <v>120</v>
      </c>
      <c r="D59" s="21" t="s">
        <v>136</v>
      </c>
    </row>
    <row r="60" spans="2:4" ht="15" customHeight="1" x14ac:dyDescent="0.35">
      <c r="B60" s="7" t="s">
        <v>137</v>
      </c>
      <c r="C60" s="20">
        <v>100000</v>
      </c>
      <c r="D60" s="21" t="s">
        <v>138</v>
      </c>
    </row>
    <row r="61" spans="2:4" ht="15" customHeight="1" x14ac:dyDescent="0.35">
      <c r="B61" s="7" t="s">
        <v>139</v>
      </c>
      <c r="C61" s="22">
        <v>0.25</v>
      </c>
      <c r="D61" s="21" t="s">
        <v>140</v>
      </c>
    </row>
    <row r="62" spans="2:4" ht="15" customHeight="1" x14ac:dyDescent="0.35">
      <c r="B62" s="7" t="s">
        <v>141</v>
      </c>
      <c r="C62" s="20">
        <v>500</v>
      </c>
      <c r="D62" s="21" t="s">
        <v>142</v>
      </c>
    </row>
    <row r="63" spans="2:4" ht="15" customHeight="1" x14ac:dyDescent="0.35">
      <c r="B63" s="7" t="s">
        <v>143</v>
      </c>
      <c r="C63" s="20">
        <v>1000</v>
      </c>
      <c r="D63" s="21" t="s">
        <v>144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BI31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K11" sqref="K11"/>
    </sheetView>
  </sheetViews>
  <sheetFormatPr defaultColWidth="8.6328125" defaultRowHeight="14.5" x14ac:dyDescent="0.35"/>
  <cols>
    <col min="1" max="1" width="42" customWidth="1"/>
    <col min="2" max="61" width="14" customWidth="1"/>
  </cols>
  <sheetData>
    <row r="1" spans="1:61" ht="17.25" customHeight="1" x14ac:dyDescent="0.4">
      <c r="A1" s="1" t="s">
        <v>145</v>
      </c>
    </row>
    <row r="2" spans="1:61" ht="15" customHeight="1" x14ac:dyDescent="0.35">
      <c r="A2" s="2" t="s">
        <v>146</v>
      </c>
    </row>
    <row r="3" spans="1:61" x14ac:dyDescent="0.35">
      <c r="J3" s="49"/>
    </row>
    <row r="4" spans="1:61" ht="15" customHeight="1" x14ac:dyDescent="0.35">
      <c r="A4" s="19"/>
      <c r="B4" s="25" t="s">
        <v>147</v>
      </c>
      <c r="C4" s="25" t="s">
        <v>148</v>
      </c>
      <c r="D4" s="25" t="s">
        <v>149</v>
      </c>
      <c r="E4" s="25" t="s">
        <v>150</v>
      </c>
      <c r="F4" s="25" t="s">
        <v>151</v>
      </c>
      <c r="G4" s="25" t="s">
        <v>152</v>
      </c>
      <c r="H4" s="25" t="s">
        <v>153</v>
      </c>
      <c r="I4" s="25" t="s">
        <v>154</v>
      </c>
      <c r="J4" s="19" t="s">
        <v>155</v>
      </c>
      <c r="K4" s="19" t="s">
        <v>156</v>
      </c>
      <c r="L4" s="19" t="s">
        <v>157</v>
      </c>
      <c r="M4" s="19" t="s">
        <v>158</v>
      </c>
      <c r="N4" s="19" t="s">
        <v>159</v>
      </c>
      <c r="O4" s="19" t="s">
        <v>160</v>
      </c>
      <c r="P4" s="19" t="s">
        <v>161</v>
      </c>
      <c r="Q4" s="19" t="s">
        <v>162</v>
      </c>
      <c r="R4" s="19" t="s">
        <v>163</v>
      </c>
      <c r="S4" s="19" t="s">
        <v>164</v>
      </c>
      <c r="T4" s="19" t="s">
        <v>165</v>
      </c>
      <c r="U4" s="19" t="s">
        <v>166</v>
      </c>
      <c r="V4" s="19" t="s">
        <v>167</v>
      </c>
      <c r="W4" s="19" t="s">
        <v>168</v>
      </c>
      <c r="X4" s="19" t="s">
        <v>169</v>
      </c>
      <c r="Y4" s="19" t="s">
        <v>170</v>
      </c>
      <c r="Z4" s="19" t="s">
        <v>171</v>
      </c>
      <c r="AA4" s="19" t="s">
        <v>172</v>
      </c>
      <c r="AB4" s="19" t="s">
        <v>173</v>
      </c>
      <c r="AC4" s="19" t="s">
        <v>174</v>
      </c>
      <c r="AD4" s="19" t="s">
        <v>175</v>
      </c>
      <c r="AE4" s="19" t="s">
        <v>176</v>
      </c>
      <c r="AF4" s="19" t="s">
        <v>177</v>
      </c>
      <c r="AG4" s="19" t="s">
        <v>178</v>
      </c>
      <c r="AH4" s="19" t="s">
        <v>179</v>
      </c>
      <c r="AI4" s="19" t="s">
        <v>180</v>
      </c>
      <c r="AJ4" s="19" t="s">
        <v>181</v>
      </c>
      <c r="AK4" s="19" t="s">
        <v>182</v>
      </c>
      <c r="AL4" s="19" t="s">
        <v>183</v>
      </c>
      <c r="AM4" s="19" t="s">
        <v>184</v>
      </c>
      <c r="AN4" s="19" t="s">
        <v>185</v>
      </c>
      <c r="AO4" s="19" t="s">
        <v>186</v>
      </c>
      <c r="AP4" s="19" t="s">
        <v>187</v>
      </c>
      <c r="AQ4" s="19" t="s">
        <v>188</v>
      </c>
      <c r="AR4" s="19" t="s">
        <v>189</v>
      </c>
      <c r="AS4" s="19" t="s">
        <v>190</v>
      </c>
      <c r="AT4" s="19" t="s">
        <v>191</v>
      </c>
      <c r="AU4" s="19" t="s">
        <v>192</v>
      </c>
      <c r="AV4" s="19" t="s">
        <v>193</v>
      </c>
      <c r="AW4" s="19" t="s">
        <v>194</v>
      </c>
      <c r="AX4" s="19" t="s">
        <v>195</v>
      </c>
      <c r="AY4" s="19" t="s">
        <v>196</v>
      </c>
      <c r="AZ4" s="19" t="s">
        <v>197</v>
      </c>
      <c r="BA4" s="19" t="s">
        <v>198</v>
      </c>
      <c r="BB4" s="19" t="s">
        <v>199</v>
      </c>
      <c r="BC4" s="19" t="s">
        <v>200</v>
      </c>
      <c r="BD4" s="19" t="s">
        <v>201</v>
      </c>
      <c r="BE4" s="19" t="s">
        <v>202</v>
      </c>
      <c r="BF4" s="19" t="s">
        <v>203</v>
      </c>
      <c r="BG4" s="19" t="s">
        <v>204</v>
      </c>
      <c r="BH4" s="19" t="s">
        <v>205</v>
      </c>
      <c r="BI4" s="19" t="s">
        <v>206</v>
      </c>
    </row>
    <row r="6" spans="1:61" ht="15" customHeight="1" x14ac:dyDescent="0.35">
      <c r="A6" s="5" t="s">
        <v>207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</row>
    <row r="7" spans="1:61" ht="15" customHeight="1" x14ac:dyDescent="0.35">
      <c r="A7" s="10" t="s">
        <v>208</v>
      </c>
      <c r="B7" s="26">
        <v>37954</v>
      </c>
      <c r="C7" s="26">
        <v>61361</v>
      </c>
      <c r="D7" s="26">
        <v>108804</v>
      </c>
      <c r="E7" s="26">
        <v>57522</v>
      </c>
      <c r="F7" s="26">
        <v>71229</v>
      </c>
      <c r="G7" s="26">
        <v>61780</v>
      </c>
      <c r="H7" s="26">
        <v>62159</v>
      </c>
      <c r="I7" s="26">
        <v>181457</v>
      </c>
      <c r="J7" s="50">
        <v>50000</v>
      </c>
    </row>
    <row r="8" spans="1:61" ht="15" customHeight="1" x14ac:dyDescent="0.35">
      <c r="A8" s="7" t="s">
        <v>209</v>
      </c>
      <c r="B8" s="27">
        <f>ROUND(B7/'Drivers &amp; Assumptions'!C6,0)</f>
        <v>301</v>
      </c>
      <c r="C8" s="27">
        <f>ROUND(C7/'Drivers &amp; Assumptions'!C6,0)</f>
        <v>487</v>
      </c>
      <c r="D8" s="27">
        <f>ROUND(D7/'Drivers &amp; Assumptions'!C6,0)</f>
        <v>864</v>
      </c>
      <c r="E8" s="27">
        <f>ROUND(E7/'Drivers &amp; Assumptions'!C6,0)</f>
        <v>457</v>
      </c>
      <c r="F8" s="27">
        <f>ROUND(F7/'Drivers &amp; Assumptions'!C6,0)</f>
        <v>565</v>
      </c>
      <c r="G8" s="27">
        <f>ROUND(G7/'Drivers &amp; Assumptions'!C6,0)</f>
        <v>490</v>
      </c>
      <c r="H8" s="27">
        <f>ROUND(H7/'Drivers &amp; Assumptions'!C6,0)</f>
        <v>493</v>
      </c>
      <c r="I8" s="27">
        <f>ROUND(I7/'Drivers &amp; Assumptions'!C6,0)</f>
        <v>1440</v>
      </c>
    </row>
    <row r="10" spans="1:61" ht="15" customHeight="1" x14ac:dyDescent="0.35">
      <c r="A10" s="5" t="s">
        <v>210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</row>
    <row r="11" spans="1:61" ht="15" customHeight="1" x14ac:dyDescent="0.35">
      <c r="A11" s="7" t="s">
        <v>211</v>
      </c>
      <c r="B11" s="47">
        <v>0</v>
      </c>
      <c r="C11" s="47">
        <f>B11*(1+'Drivers &amp; Assumptions'!C12)</f>
        <v>0</v>
      </c>
      <c r="D11" s="47">
        <f>C11*(1+'Drivers &amp; Assumptions'!C12)</f>
        <v>0</v>
      </c>
      <c r="E11" s="47">
        <f>D11*(1+'Drivers &amp; Assumptions'!C12)</f>
        <v>0</v>
      </c>
      <c r="F11" s="47">
        <f>E11*(1+'Drivers &amp; Assumptions'!C12)</f>
        <v>0</v>
      </c>
      <c r="G11" s="47">
        <f>F11*(1+'Drivers &amp; Assumptions'!C12)</f>
        <v>0</v>
      </c>
      <c r="H11" s="47">
        <f>G11*(1+'Drivers &amp; Assumptions'!C12)</f>
        <v>0</v>
      </c>
      <c r="I11" s="46">
        <f>H11*(1+'Drivers &amp; Assumptions'!C12)</f>
        <v>0</v>
      </c>
      <c r="J11" s="9">
        <v>0</v>
      </c>
      <c r="K11" s="46">
        <v>10000</v>
      </c>
      <c r="L11" s="9">
        <f>'Drivers &amp; Assumptions'!C11*(1+'Drivers &amp; Assumptions'!C12)</f>
        <v>21000</v>
      </c>
      <c r="M11" s="9">
        <f>L11*(1+'Drivers &amp; Assumptions'!C12)</f>
        <v>22050</v>
      </c>
      <c r="N11" s="9">
        <f>M11*(1+'Drivers &amp; Assumptions'!C12)</f>
        <v>23152.5</v>
      </c>
      <c r="O11" s="9">
        <f>N11*(1+'Drivers &amp; Assumptions'!C12)</f>
        <v>24310.125</v>
      </c>
      <c r="P11" s="9">
        <f>O11*(1+'Drivers &amp; Assumptions'!C12)</f>
        <v>25525.631250000002</v>
      </c>
      <c r="Q11" s="9">
        <f>P11*(1+'Drivers &amp; Assumptions'!C12)</f>
        <v>26801.912812500002</v>
      </c>
      <c r="R11" s="9">
        <f>Q11*(1+'Drivers &amp; Assumptions'!C12)</f>
        <v>28142.008453125003</v>
      </c>
      <c r="S11" s="9">
        <f>R11*(1+'Drivers &amp; Assumptions'!C12)</f>
        <v>29549.108875781254</v>
      </c>
      <c r="T11" s="9">
        <f>S11*(1+'Drivers &amp; Assumptions'!C12)</f>
        <v>31026.56431957032</v>
      </c>
      <c r="U11" s="9">
        <f>T11*(1+'Drivers &amp; Assumptions'!C12)</f>
        <v>32577.892535548835</v>
      </c>
      <c r="V11" s="9">
        <f>U11*(1+'Drivers &amp; Assumptions'!C12)</f>
        <v>34206.787162326276</v>
      </c>
      <c r="W11" s="9">
        <f>V11*(1+'Drivers &amp; Assumptions'!C12)</f>
        <v>35917.126520442594</v>
      </c>
      <c r="X11" s="9">
        <f>W11*(1+'Drivers &amp; Assumptions'!C12)</f>
        <v>37712.982846464729</v>
      </c>
      <c r="Y11" s="9">
        <f>X11*(1+'Drivers &amp; Assumptions'!C12)</f>
        <v>39598.631988787965</v>
      </c>
      <c r="Z11" s="9">
        <f>Y11*(1+'Drivers &amp; Assumptions'!C12)</f>
        <v>41578.563588227364</v>
      </c>
      <c r="AA11" s="9">
        <f>Z11*(1+'Drivers &amp; Assumptions'!C12)</f>
        <v>43657.491767638734</v>
      </c>
      <c r="AB11" s="9">
        <f>AA11*(1+'Drivers &amp; Assumptions'!C12)</f>
        <v>45840.36635602067</v>
      </c>
      <c r="AC11" s="9">
        <f>AB11*(1+'Drivers &amp; Assumptions'!C12)</f>
        <v>48132.384673821703</v>
      </c>
      <c r="AD11" s="9">
        <f>AC11*(1+'Drivers &amp; Assumptions'!C12)</f>
        <v>50539.003907512793</v>
      </c>
      <c r="AE11" s="9">
        <f>AD11*(1+'Drivers &amp; Assumptions'!C12)</f>
        <v>53065.954102888434</v>
      </c>
      <c r="AF11" s="9">
        <f>AE11*(1+'Drivers &amp; Assumptions'!C12)</f>
        <v>55719.251808032859</v>
      </c>
      <c r="AG11" s="9">
        <f>AF11*(1+'Drivers &amp; Assumptions'!C12)</f>
        <v>58505.214398434502</v>
      </c>
      <c r="AH11" s="9">
        <f>AG11*(1+'Drivers &amp; Assumptions'!C12)</f>
        <v>61430.475118356233</v>
      </c>
      <c r="AI11" s="9">
        <f>AH11*(1+'Drivers &amp; Assumptions'!C12)</f>
        <v>64501.998874274046</v>
      </c>
      <c r="AJ11" s="9">
        <f>AI11*(1+'Drivers &amp; Assumptions'!C12)</f>
        <v>67727.098817987746</v>
      </c>
      <c r="AK11" s="9">
        <f>AJ11*(1+'Drivers &amp; Assumptions'!C12)</f>
        <v>71113.453758887132</v>
      </c>
      <c r="AL11" s="9">
        <f>AK11*(1+'Drivers &amp; Assumptions'!C12)</f>
        <v>74669.126446831491</v>
      </c>
      <c r="AM11" s="9">
        <f>AL11*(1+'Drivers &amp; Assumptions'!C12)</f>
        <v>78402.582769173066</v>
      </c>
      <c r="AN11" s="9">
        <f>AM11*(1+'Drivers &amp; Assumptions'!C12)</f>
        <v>82322.711907631718</v>
      </c>
      <c r="AO11" s="9">
        <f>AN11*(1+'Drivers &amp; Assumptions'!C12)</f>
        <v>86438.847503013312</v>
      </c>
      <c r="AP11" s="9">
        <f>AO11*(1+'Drivers &amp; Assumptions'!C12)</f>
        <v>90760.789878163981</v>
      </c>
      <c r="AQ11" s="9">
        <f>AP11*(1+'Drivers &amp; Assumptions'!C12)</f>
        <v>95298.829372072185</v>
      </c>
      <c r="AR11" s="9">
        <f>AQ11*(1+'Drivers &amp; Assumptions'!C12)</f>
        <v>100063.7708406758</v>
      </c>
      <c r="AS11" s="9">
        <f>AR11*(1+'Drivers &amp; Assumptions'!C12)</f>
        <v>105066.9593827096</v>
      </c>
      <c r="AT11" s="9">
        <f>AS11*(1+'Drivers &amp; Assumptions'!C12)</f>
        <v>110320.30735184508</v>
      </c>
      <c r="AU11" s="9">
        <f>AT11*(1+'Drivers &amp; Assumptions'!C12)</f>
        <v>115836.32271943735</v>
      </c>
      <c r="AV11" s="9">
        <f>AU11*(1+'Drivers &amp; Assumptions'!C12)</f>
        <v>121628.13885540923</v>
      </c>
      <c r="AW11" s="9">
        <f>AV11*(1+'Drivers &amp; Assumptions'!C12)</f>
        <v>127709.54579817969</v>
      </c>
      <c r="AX11" s="9">
        <f>AW11*(1+'Drivers &amp; Assumptions'!C12)</f>
        <v>134095.0230880887</v>
      </c>
      <c r="AY11" s="9">
        <f>AX11*(1+'Drivers &amp; Assumptions'!C12)</f>
        <v>140799.77424249315</v>
      </c>
      <c r="AZ11" s="9">
        <f>AY11*(1+'Drivers &amp; Assumptions'!C12)</f>
        <v>147839.76295461782</v>
      </c>
      <c r="BA11" s="9">
        <f>AZ11*(1+'Drivers &amp; Assumptions'!C12)</f>
        <v>155231.75110234873</v>
      </c>
      <c r="BB11" s="9">
        <f>BA11*(1+'Drivers &amp; Assumptions'!C12)</f>
        <v>162993.33865746617</v>
      </c>
      <c r="BC11" s="9">
        <f>BB11*(1+'Drivers &amp; Assumptions'!C12)</f>
        <v>171143.00559033948</v>
      </c>
      <c r="BD11" s="9">
        <f>BC11*(1+'Drivers &amp; Assumptions'!C12)</f>
        <v>179700.15586985648</v>
      </c>
      <c r="BE11" s="9">
        <f>BD11*(1+'Drivers &amp; Assumptions'!C12)</f>
        <v>188685.16366334932</v>
      </c>
      <c r="BF11" s="9">
        <f>BE11*(1+'Drivers &amp; Assumptions'!C12)</f>
        <v>198119.42184651678</v>
      </c>
      <c r="BG11" s="9">
        <f>BF11*(1+'Drivers &amp; Assumptions'!C12)</f>
        <v>208025.39293884262</v>
      </c>
      <c r="BH11" s="9">
        <f>BG11*(1+'Drivers &amp; Assumptions'!C12)</f>
        <v>218426.66258578477</v>
      </c>
      <c r="BI11" s="9">
        <f>BH11*(1+'Drivers &amp; Assumptions'!C12)</f>
        <v>229347.99571507401</v>
      </c>
    </row>
    <row r="12" spans="1:61" ht="15" customHeight="1" x14ac:dyDescent="0.35">
      <c r="A12" s="7" t="s">
        <v>212</v>
      </c>
      <c r="B12" s="28">
        <f>ROUND(B11/'Drivers &amp; Assumptions'!C7,0)</f>
        <v>0</v>
      </c>
      <c r="C12" s="28">
        <f>ROUND(C11/'Drivers &amp; Assumptions'!C7,0)</f>
        <v>0</v>
      </c>
      <c r="D12" s="28">
        <f>ROUND(D11/'Drivers &amp; Assumptions'!C7,0)</f>
        <v>0</v>
      </c>
      <c r="E12" s="28">
        <f>ROUND(E11/'Drivers &amp; Assumptions'!C7,0)</f>
        <v>0</v>
      </c>
      <c r="F12" s="28">
        <f>ROUND(F11/'Drivers &amp; Assumptions'!C7,0)</f>
        <v>0</v>
      </c>
      <c r="G12" s="28">
        <f>ROUND(G11/'Drivers &amp; Assumptions'!C7,0)</f>
        <v>0</v>
      </c>
      <c r="H12" s="28">
        <f>ROUND(H11/'Drivers &amp; Assumptions'!C7,0)</f>
        <v>0</v>
      </c>
      <c r="I12" s="28">
        <f>ROUND(I11/'Drivers &amp; Assumptions'!C7,0)</f>
        <v>0</v>
      </c>
      <c r="J12" s="28">
        <f>ROUND(J11/'Drivers &amp; Assumptions'!C7,0)</f>
        <v>0</v>
      </c>
      <c r="K12" s="28">
        <f>ROUND(K11/'Drivers &amp; Assumptions'!C7,0)</f>
        <v>250</v>
      </c>
      <c r="L12" s="28">
        <f>ROUND(L11/'Drivers &amp; Assumptions'!C7,0)</f>
        <v>525</v>
      </c>
      <c r="M12" s="28">
        <f>ROUND(M11/'Drivers &amp; Assumptions'!C7,0)</f>
        <v>551</v>
      </c>
      <c r="N12" s="28">
        <f>ROUND(N11/'Drivers &amp; Assumptions'!C7,0)</f>
        <v>579</v>
      </c>
      <c r="O12" s="28">
        <f>ROUND(O11/'Drivers &amp; Assumptions'!C7,0)</f>
        <v>608</v>
      </c>
      <c r="P12" s="28">
        <f>ROUND(P11/'Drivers &amp; Assumptions'!C7,0)</f>
        <v>638</v>
      </c>
      <c r="Q12" s="28">
        <f>ROUND(Q11/'Drivers &amp; Assumptions'!C7,0)</f>
        <v>670</v>
      </c>
      <c r="R12" s="28">
        <f>ROUND(R11/'Drivers &amp; Assumptions'!C7,0)</f>
        <v>704</v>
      </c>
      <c r="S12" s="28">
        <f>ROUND(S11/'Drivers &amp; Assumptions'!C7,0)</f>
        <v>739</v>
      </c>
      <c r="T12" s="28">
        <f>ROUND(T11/'Drivers &amp; Assumptions'!C7,0)</f>
        <v>776</v>
      </c>
      <c r="U12" s="28">
        <f>ROUND(U11/'Drivers &amp; Assumptions'!C7,0)</f>
        <v>814</v>
      </c>
      <c r="V12" s="28">
        <f>ROUND(V11/'Drivers &amp; Assumptions'!C7,0)</f>
        <v>855</v>
      </c>
      <c r="W12" s="28">
        <f>ROUND(W11/'Drivers &amp; Assumptions'!C7,0)</f>
        <v>898</v>
      </c>
      <c r="X12" s="28">
        <f>ROUND(X11/'Drivers &amp; Assumptions'!C7,0)</f>
        <v>943</v>
      </c>
      <c r="Y12" s="28">
        <f>ROUND(Y11/'Drivers &amp; Assumptions'!C7,0)</f>
        <v>990</v>
      </c>
      <c r="Z12" s="28">
        <f>ROUND(Z11/'Drivers &amp; Assumptions'!C7,0)</f>
        <v>1039</v>
      </c>
      <c r="AA12" s="28">
        <f>ROUND(AA11/'Drivers &amp; Assumptions'!C7,0)</f>
        <v>1091</v>
      </c>
      <c r="AB12" s="28">
        <f>ROUND(AB11/'Drivers &amp; Assumptions'!C7,0)</f>
        <v>1146</v>
      </c>
      <c r="AC12" s="28">
        <f>ROUND(AC11/'Drivers &amp; Assumptions'!C7,0)</f>
        <v>1203</v>
      </c>
      <c r="AD12" s="28">
        <f>ROUND(AD11/'Drivers &amp; Assumptions'!C7,0)</f>
        <v>1263</v>
      </c>
      <c r="AE12" s="28">
        <f>ROUND(AE11/'Drivers &amp; Assumptions'!C7,0)</f>
        <v>1327</v>
      </c>
      <c r="AF12" s="28">
        <f>ROUND(AF11/'Drivers &amp; Assumptions'!C7,0)</f>
        <v>1393</v>
      </c>
      <c r="AG12" s="28">
        <f>ROUND(AG11/'Drivers &amp; Assumptions'!C7,0)</f>
        <v>1463</v>
      </c>
      <c r="AH12" s="28">
        <f>ROUND(AH11/'Drivers &amp; Assumptions'!C7,0)</f>
        <v>1536</v>
      </c>
      <c r="AI12" s="28">
        <f>ROUND(AI11/'Drivers &amp; Assumptions'!C7,0)</f>
        <v>1613</v>
      </c>
      <c r="AJ12" s="28">
        <f>ROUND(AJ11/'Drivers &amp; Assumptions'!C7,0)</f>
        <v>1693</v>
      </c>
      <c r="AK12" s="28">
        <f>ROUND(AK11/'Drivers &amp; Assumptions'!C7,0)</f>
        <v>1778</v>
      </c>
      <c r="AL12" s="28">
        <f>ROUND(AL11/'Drivers &amp; Assumptions'!C7,0)</f>
        <v>1867</v>
      </c>
      <c r="AM12" s="28">
        <f>ROUND(AM11/'Drivers &amp; Assumptions'!C7,0)</f>
        <v>1960</v>
      </c>
      <c r="AN12" s="28">
        <f>ROUND(AN11/'Drivers &amp; Assumptions'!C7,0)</f>
        <v>2058</v>
      </c>
      <c r="AO12" s="28">
        <f>ROUND(AO11/'Drivers &amp; Assumptions'!C7,0)</f>
        <v>2161</v>
      </c>
      <c r="AP12" s="28">
        <f>ROUND(AP11/'Drivers &amp; Assumptions'!C7,0)</f>
        <v>2269</v>
      </c>
      <c r="AQ12" s="28">
        <f>ROUND(AQ11/'Drivers &amp; Assumptions'!C7,0)</f>
        <v>2382</v>
      </c>
      <c r="AR12" s="28">
        <f>ROUND(AR11/'Drivers &amp; Assumptions'!C7,0)</f>
        <v>2502</v>
      </c>
      <c r="AS12" s="28">
        <f>ROUND(AS11/'Drivers &amp; Assumptions'!C7,0)</f>
        <v>2627</v>
      </c>
      <c r="AT12" s="28">
        <f>ROUND(AT11/'Drivers &amp; Assumptions'!C7,0)</f>
        <v>2758</v>
      </c>
      <c r="AU12" s="28">
        <f>ROUND(AU11/'Drivers &amp; Assumptions'!C7,0)</f>
        <v>2896</v>
      </c>
      <c r="AV12" s="28">
        <f>ROUND(AV11/'Drivers &amp; Assumptions'!C7,0)</f>
        <v>3041</v>
      </c>
      <c r="AW12" s="28">
        <f>ROUND(AW11/'Drivers &amp; Assumptions'!C7,0)</f>
        <v>3193</v>
      </c>
      <c r="AX12" s="28">
        <f>ROUND(AX11/'Drivers &amp; Assumptions'!C7,0)</f>
        <v>3352</v>
      </c>
      <c r="AY12" s="28">
        <f>ROUND(AY11/'Drivers &amp; Assumptions'!C7,0)</f>
        <v>3520</v>
      </c>
      <c r="AZ12" s="28">
        <f>ROUND(AZ11/'Drivers &amp; Assumptions'!C7,0)</f>
        <v>3696</v>
      </c>
      <c r="BA12" s="28">
        <f>ROUND(BA11/'Drivers &amp; Assumptions'!C7,0)</f>
        <v>3881</v>
      </c>
      <c r="BB12" s="28">
        <f>ROUND(BB11/'Drivers &amp; Assumptions'!C7,0)</f>
        <v>4075</v>
      </c>
      <c r="BC12" s="28">
        <f>ROUND(BC11/'Drivers &amp; Assumptions'!C7,0)</f>
        <v>4279</v>
      </c>
      <c r="BD12" s="28">
        <f>ROUND(BD11/'Drivers &amp; Assumptions'!C7,0)</f>
        <v>4493</v>
      </c>
      <c r="BE12" s="28">
        <f>ROUND(BE11/'Drivers &amp; Assumptions'!C7,0)</f>
        <v>4717</v>
      </c>
      <c r="BF12" s="28">
        <f>ROUND(BF11/'Drivers &amp; Assumptions'!C7,0)</f>
        <v>4953</v>
      </c>
      <c r="BG12" s="28">
        <f>ROUND(BG11/'Drivers &amp; Assumptions'!C7,0)</f>
        <v>5201</v>
      </c>
      <c r="BH12" s="28">
        <f>ROUND(BH11/'Drivers &amp; Assumptions'!C7,0)</f>
        <v>5461</v>
      </c>
      <c r="BI12" s="28">
        <f>ROUND(BI11/'Drivers &amp; Assumptions'!C7,0)</f>
        <v>5734</v>
      </c>
    </row>
    <row r="14" spans="1:61" ht="15" customHeight="1" x14ac:dyDescent="0.35">
      <c r="A14" s="5" t="s">
        <v>213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</row>
    <row r="15" spans="1:61" ht="15" customHeight="1" x14ac:dyDescent="0.35">
      <c r="A15" s="7" t="s">
        <v>214</v>
      </c>
      <c r="B15" s="45"/>
      <c r="C15" s="45"/>
      <c r="D15" s="45"/>
      <c r="E15" s="45"/>
      <c r="F15" s="45"/>
      <c r="G15" s="45"/>
      <c r="H15" s="45"/>
      <c r="I15" s="45"/>
      <c r="J15" s="48">
        <v>6</v>
      </c>
      <c r="K15" s="28">
        <f>ROUND(K12*'Drivers &amp; Assumptions'!C8,0)</f>
        <v>100</v>
      </c>
      <c r="L15" s="28">
        <f>ROUND(L12*'Drivers &amp; Assumptions'!C8,0)</f>
        <v>210</v>
      </c>
      <c r="M15" s="28">
        <f>ROUND(M12*'Drivers &amp; Assumptions'!C8,0)</f>
        <v>220</v>
      </c>
      <c r="N15" s="28">
        <f>ROUND(N12*'Drivers &amp; Assumptions'!C8,0)</f>
        <v>232</v>
      </c>
      <c r="O15" s="28">
        <f>ROUND(O12*'Drivers &amp; Assumptions'!C8,0)</f>
        <v>243</v>
      </c>
      <c r="P15" s="28">
        <f>ROUND(P12*'Drivers &amp; Assumptions'!C8,0)</f>
        <v>255</v>
      </c>
      <c r="Q15" s="28">
        <f>ROUND(Q12*'Drivers &amp; Assumptions'!C8,0)</f>
        <v>268</v>
      </c>
      <c r="R15" s="28">
        <f>ROUND(R12*'Drivers &amp; Assumptions'!C8,0)</f>
        <v>282</v>
      </c>
      <c r="S15" s="28">
        <f>ROUND(S12*'Drivers &amp; Assumptions'!C8,0)</f>
        <v>296</v>
      </c>
      <c r="T15" s="28">
        <f>ROUND(T12*'Drivers &amp; Assumptions'!C8,0)</f>
        <v>310</v>
      </c>
      <c r="U15" s="28">
        <f>ROUND(U12*'Drivers &amp; Assumptions'!C8,0)</f>
        <v>326</v>
      </c>
      <c r="V15" s="28">
        <f>ROUND(V12*'Drivers &amp; Assumptions'!C8,0)</f>
        <v>342</v>
      </c>
      <c r="W15" s="28">
        <f>ROUND(W12*'Drivers &amp; Assumptions'!C8,0)</f>
        <v>359</v>
      </c>
      <c r="X15" s="28">
        <f>ROUND(X12*'Drivers &amp; Assumptions'!C8,0)</f>
        <v>377</v>
      </c>
      <c r="Y15" s="28">
        <f>ROUND(Y12*'Drivers &amp; Assumptions'!C8,0)</f>
        <v>396</v>
      </c>
      <c r="Z15" s="28">
        <f>ROUND(Z12*'Drivers &amp; Assumptions'!C8,0)</f>
        <v>416</v>
      </c>
      <c r="AA15" s="28">
        <f>ROUND(AA12*'Drivers &amp; Assumptions'!C8,0)</f>
        <v>436</v>
      </c>
      <c r="AB15" s="28">
        <f>ROUND(AB12*'Drivers &amp; Assumptions'!C8,0)</f>
        <v>458</v>
      </c>
      <c r="AC15" s="28">
        <f>ROUND(AC12*'Drivers &amp; Assumptions'!C8,0)</f>
        <v>481</v>
      </c>
      <c r="AD15" s="28">
        <f>ROUND(AD12*'Drivers &amp; Assumptions'!C8,0)</f>
        <v>505</v>
      </c>
      <c r="AE15" s="28">
        <f>ROUND(AE12*'Drivers &amp; Assumptions'!C8,0)</f>
        <v>531</v>
      </c>
      <c r="AF15" s="28">
        <f>ROUND(AF12*'Drivers &amp; Assumptions'!C8,0)</f>
        <v>557</v>
      </c>
      <c r="AG15" s="28">
        <f>ROUND(AG12*'Drivers &amp; Assumptions'!C8,0)</f>
        <v>585</v>
      </c>
      <c r="AH15" s="28">
        <f>ROUND(AH12*'Drivers &amp; Assumptions'!C8,0)</f>
        <v>614</v>
      </c>
      <c r="AI15" s="28">
        <f>ROUND(AI12*'Drivers &amp; Assumptions'!C8,0)</f>
        <v>645</v>
      </c>
      <c r="AJ15" s="28">
        <f>ROUND(AJ12*'Drivers &amp; Assumptions'!C8,0)</f>
        <v>677</v>
      </c>
      <c r="AK15" s="28">
        <f>ROUND(AK12*'Drivers &amp; Assumptions'!C8,0)</f>
        <v>711</v>
      </c>
      <c r="AL15" s="28">
        <f>ROUND(AL12*'Drivers &amp; Assumptions'!C8,0)</f>
        <v>747</v>
      </c>
      <c r="AM15" s="28">
        <f>ROUND(AM12*'Drivers &amp; Assumptions'!C8,0)</f>
        <v>784</v>
      </c>
      <c r="AN15" s="28">
        <f>ROUND(AN12*'Drivers &amp; Assumptions'!C8,0)</f>
        <v>823</v>
      </c>
      <c r="AO15" s="28">
        <f>ROUND(AO12*'Drivers &amp; Assumptions'!C8,0)</f>
        <v>864</v>
      </c>
      <c r="AP15" s="28">
        <f>ROUND(AP12*'Drivers &amp; Assumptions'!C8,0)</f>
        <v>908</v>
      </c>
      <c r="AQ15" s="28">
        <f>ROUND(AQ12*'Drivers &amp; Assumptions'!C8,0)</f>
        <v>953</v>
      </c>
      <c r="AR15" s="28">
        <f>ROUND(AR12*'Drivers &amp; Assumptions'!C8,0)</f>
        <v>1001</v>
      </c>
      <c r="AS15" s="28">
        <f>ROUND(AS12*'Drivers &amp; Assumptions'!C8,0)</f>
        <v>1051</v>
      </c>
      <c r="AT15" s="28">
        <f>ROUND(AT12*'Drivers &amp; Assumptions'!C8,0)</f>
        <v>1103</v>
      </c>
      <c r="AU15" s="28">
        <f>ROUND(AU12*'Drivers &amp; Assumptions'!C8,0)</f>
        <v>1158</v>
      </c>
      <c r="AV15" s="28">
        <f>ROUND(AV12*'Drivers &amp; Assumptions'!C8,0)</f>
        <v>1216</v>
      </c>
      <c r="AW15" s="28">
        <f>ROUND(AW12*'Drivers &amp; Assumptions'!C8,0)</f>
        <v>1277</v>
      </c>
      <c r="AX15" s="28">
        <f>ROUND(AX12*'Drivers &amp; Assumptions'!C8,0)</f>
        <v>1341</v>
      </c>
      <c r="AY15" s="28">
        <f>ROUND(AY12*'Drivers &amp; Assumptions'!C8,0)</f>
        <v>1408</v>
      </c>
      <c r="AZ15" s="28">
        <f>ROUND(AZ12*'Drivers &amp; Assumptions'!C8,0)</f>
        <v>1478</v>
      </c>
      <c r="BA15" s="28">
        <f>ROUND(BA12*'Drivers &amp; Assumptions'!C8,0)</f>
        <v>1552</v>
      </c>
      <c r="BB15" s="28">
        <f>ROUND(BB12*'Drivers &amp; Assumptions'!C8,0)</f>
        <v>1630</v>
      </c>
      <c r="BC15" s="28">
        <f>ROUND(BC12*'Drivers &amp; Assumptions'!C8,0)</f>
        <v>1712</v>
      </c>
      <c r="BD15" s="28">
        <f>ROUND(BD12*'Drivers &amp; Assumptions'!C8,0)</f>
        <v>1797</v>
      </c>
      <c r="BE15" s="28">
        <f>ROUND(BE12*'Drivers &amp; Assumptions'!C8,0)</f>
        <v>1887</v>
      </c>
      <c r="BF15" s="28">
        <f>ROUND(BF12*'Drivers &amp; Assumptions'!C8,0)</f>
        <v>1981</v>
      </c>
      <c r="BG15" s="28">
        <f>ROUND(BG12*'Drivers &amp; Assumptions'!C8,0)</f>
        <v>2080</v>
      </c>
      <c r="BH15" s="28">
        <f>ROUND(BH12*'Drivers &amp; Assumptions'!C8,0)</f>
        <v>2184</v>
      </c>
      <c r="BI15" s="28">
        <f>ROUND(BI12*'Drivers &amp; Assumptions'!C8,0)</f>
        <v>2294</v>
      </c>
    </row>
    <row r="16" spans="1:61" ht="15" customHeight="1" x14ac:dyDescent="0.35">
      <c r="A16" s="7" t="s">
        <v>215</v>
      </c>
      <c r="B16" s="45"/>
      <c r="C16" s="45"/>
      <c r="D16" s="45"/>
      <c r="E16" s="45"/>
      <c r="F16" s="45"/>
      <c r="G16" s="45"/>
      <c r="H16" s="45"/>
      <c r="I16" s="45"/>
      <c r="J16" s="44"/>
      <c r="K16" s="28">
        <f t="shared" ref="K16:AG16" si="0">K12-K15</f>
        <v>150</v>
      </c>
      <c r="L16" s="28">
        <f t="shared" si="0"/>
        <v>315</v>
      </c>
      <c r="M16" s="28">
        <f t="shared" si="0"/>
        <v>331</v>
      </c>
      <c r="N16" s="28">
        <f t="shared" si="0"/>
        <v>347</v>
      </c>
      <c r="O16" s="28">
        <f t="shared" si="0"/>
        <v>365</v>
      </c>
      <c r="P16" s="28">
        <f t="shared" si="0"/>
        <v>383</v>
      </c>
      <c r="Q16" s="28">
        <f t="shared" si="0"/>
        <v>402</v>
      </c>
      <c r="R16" s="28">
        <f t="shared" si="0"/>
        <v>422</v>
      </c>
      <c r="S16" s="28">
        <f t="shared" si="0"/>
        <v>443</v>
      </c>
      <c r="T16" s="28">
        <f t="shared" si="0"/>
        <v>466</v>
      </c>
      <c r="U16" s="28">
        <f t="shared" si="0"/>
        <v>488</v>
      </c>
      <c r="V16" s="28">
        <f t="shared" si="0"/>
        <v>513</v>
      </c>
      <c r="W16" s="28">
        <f t="shared" si="0"/>
        <v>539</v>
      </c>
      <c r="X16" s="28">
        <f t="shared" si="0"/>
        <v>566</v>
      </c>
      <c r="Y16" s="28">
        <f t="shared" si="0"/>
        <v>594</v>
      </c>
      <c r="Z16" s="28">
        <f t="shared" si="0"/>
        <v>623</v>
      </c>
      <c r="AA16" s="28">
        <f t="shared" si="0"/>
        <v>655</v>
      </c>
      <c r="AB16" s="28">
        <f t="shared" si="0"/>
        <v>688</v>
      </c>
      <c r="AC16" s="28">
        <f t="shared" si="0"/>
        <v>722</v>
      </c>
      <c r="AD16" s="28">
        <f t="shared" si="0"/>
        <v>758</v>
      </c>
      <c r="AE16" s="28">
        <f t="shared" si="0"/>
        <v>796</v>
      </c>
      <c r="AF16" s="28">
        <f t="shared" si="0"/>
        <v>836</v>
      </c>
      <c r="AG16" s="28">
        <f t="shared" si="0"/>
        <v>878</v>
      </c>
      <c r="AH16" s="28">
        <f t="shared" ref="AH16:BI16" si="1">AH12-AH15</f>
        <v>922</v>
      </c>
      <c r="AI16" s="28">
        <f t="shared" si="1"/>
        <v>968</v>
      </c>
      <c r="AJ16" s="28">
        <f t="shared" si="1"/>
        <v>1016</v>
      </c>
      <c r="AK16" s="28">
        <f t="shared" si="1"/>
        <v>1067</v>
      </c>
      <c r="AL16" s="28">
        <f t="shared" si="1"/>
        <v>1120</v>
      </c>
      <c r="AM16" s="28">
        <f t="shared" si="1"/>
        <v>1176</v>
      </c>
      <c r="AN16" s="28">
        <f t="shared" si="1"/>
        <v>1235</v>
      </c>
      <c r="AO16" s="28">
        <f t="shared" si="1"/>
        <v>1297</v>
      </c>
      <c r="AP16" s="28">
        <f t="shared" si="1"/>
        <v>1361</v>
      </c>
      <c r="AQ16" s="28">
        <f t="shared" si="1"/>
        <v>1429</v>
      </c>
      <c r="AR16" s="28">
        <f t="shared" si="1"/>
        <v>1501</v>
      </c>
      <c r="AS16" s="28">
        <f t="shared" si="1"/>
        <v>1576</v>
      </c>
      <c r="AT16" s="28">
        <f t="shared" si="1"/>
        <v>1655</v>
      </c>
      <c r="AU16" s="28">
        <f t="shared" si="1"/>
        <v>1738</v>
      </c>
      <c r="AV16" s="28">
        <f t="shared" si="1"/>
        <v>1825</v>
      </c>
      <c r="AW16" s="28">
        <f t="shared" si="1"/>
        <v>1916</v>
      </c>
      <c r="AX16" s="28">
        <f t="shared" si="1"/>
        <v>2011</v>
      </c>
      <c r="AY16" s="28">
        <f t="shared" si="1"/>
        <v>2112</v>
      </c>
      <c r="AZ16" s="28">
        <f t="shared" si="1"/>
        <v>2218</v>
      </c>
      <c r="BA16" s="28">
        <f t="shared" si="1"/>
        <v>2329</v>
      </c>
      <c r="BB16" s="28">
        <f t="shared" si="1"/>
        <v>2445</v>
      </c>
      <c r="BC16" s="28">
        <f t="shared" si="1"/>
        <v>2567</v>
      </c>
      <c r="BD16" s="28">
        <f t="shared" si="1"/>
        <v>2696</v>
      </c>
      <c r="BE16" s="28">
        <f t="shared" si="1"/>
        <v>2830</v>
      </c>
      <c r="BF16" s="28">
        <f t="shared" si="1"/>
        <v>2972</v>
      </c>
      <c r="BG16" s="28">
        <f t="shared" si="1"/>
        <v>3121</v>
      </c>
      <c r="BH16" s="28">
        <f t="shared" si="1"/>
        <v>3277</v>
      </c>
      <c r="BI16" s="28">
        <f t="shared" si="1"/>
        <v>3440</v>
      </c>
    </row>
    <row r="17" spans="1:61" ht="15" customHeight="1" x14ac:dyDescent="0.35">
      <c r="A17" s="10" t="s">
        <v>216</v>
      </c>
      <c r="B17" s="45"/>
      <c r="C17" s="45"/>
      <c r="D17" s="45"/>
      <c r="E17" s="45"/>
      <c r="F17" s="45"/>
      <c r="G17" s="45"/>
      <c r="H17" s="45"/>
      <c r="I17" s="45"/>
      <c r="J17" s="48">
        <v>67</v>
      </c>
      <c r="K17" s="28">
        <f>ROUND(J17*(1-'Drivers &amp; Assumptions'!C9),0)+K15</f>
        <v>160</v>
      </c>
      <c r="L17" s="28">
        <f>ROUND(K17*(1-'Drivers &amp; Assumptions'!C9),0)+L15</f>
        <v>354</v>
      </c>
      <c r="M17" s="28">
        <f>ROUND(L17*(1-'Drivers &amp; Assumptions'!C9),0)+M15</f>
        <v>539</v>
      </c>
      <c r="N17" s="28">
        <f>ROUND(M17*(1-'Drivers &amp; Assumptions'!C9),0)+N15</f>
        <v>717</v>
      </c>
      <c r="O17" s="28">
        <f>ROUND(N17*(1-'Drivers &amp; Assumptions'!C9),0)+O15</f>
        <v>888</v>
      </c>
      <c r="P17" s="28">
        <f>ROUND(O17*(1-'Drivers &amp; Assumptions'!C9),0)+P15</f>
        <v>1054</v>
      </c>
      <c r="Q17" s="28">
        <f>ROUND(P17*(1-'Drivers &amp; Assumptions'!C9),0)+Q15</f>
        <v>1217</v>
      </c>
      <c r="R17" s="28">
        <f>ROUND(Q17*(1-'Drivers &amp; Assumptions'!C9),0)+R15</f>
        <v>1377</v>
      </c>
      <c r="S17" s="28">
        <f>ROUND(R17*(1-'Drivers &amp; Assumptions'!C9),0)+S15</f>
        <v>1535</v>
      </c>
      <c r="T17" s="28">
        <f>ROUND(S17*(1-'Drivers &amp; Assumptions'!C9),0)+T15</f>
        <v>1692</v>
      </c>
      <c r="U17" s="28">
        <f>ROUND(T17*(1-'Drivers &amp; Assumptions'!C9),0)+U15</f>
        <v>1849</v>
      </c>
      <c r="V17" s="28">
        <f>ROUND(U17*(1-'Drivers &amp; Assumptions'!C9),0)+V15</f>
        <v>2006</v>
      </c>
      <c r="W17" s="28">
        <f>ROUND(V17*(1-'Drivers &amp; Assumptions'!C9),0)+W15</f>
        <v>2164</v>
      </c>
      <c r="X17" s="28">
        <f>ROUND(W17*(1-'Drivers &amp; Assumptions'!C9),0)+X15</f>
        <v>2325</v>
      </c>
      <c r="Y17" s="28">
        <f>ROUND(X17*(1-'Drivers &amp; Assumptions'!C9),0)+Y15</f>
        <v>2489</v>
      </c>
      <c r="Z17" s="28">
        <f>ROUND(Y17*(1-'Drivers &amp; Assumptions'!C9),0)+Z15</f>
        <v>2656</v>
      </c>
      <c r="AA17" s="28">
        <f>ROUND(Z17*(1-'Drivers &amp; Assumptions'!C9),0)+AA15</f>
        <v>2826</v>
      </c>
      <c r="AB17" s="28">
        <f>ROUND(AA17*(1-'Drivers &amp; Assumptions'!C9),0)+AB15</f>
        <v>3001</v>
      </c>
      <c r="AC17" s="28">
        <f>ROUND(AB17*(1-'Drivers &amp; Assumptions'!C9),0)+AC15</f>
        <v>3182</v>
      </c>
      <c r="AD17" s="28">
        <f>ROUND(AC17*(1-'Drivers &amp; Assumptions'!C9),0)+AD15</f>
        <v>3369</v>
      </c>
      <c r="AE17" s="28">
        <f>ROUND(AD17*(1-'Drivers &amp; Assumptions'!C9),0)+AE15</f>
        <v>3563</v>
      </c>
      <c r="AF17" s="28">
        <f>ROUND(AE17*(1-'Drivers &amp; Assumptions'!C9),0)+AF15</f>
        <v>3764</v>
      </c>
      <c r="AG17" s="28">
        <f>ROUND(AF17*(1-'Drivers &amp; Assumptions'!C9),0)+AG15</f>
        <v>3973</v>
      </c>
      <c r="AH17" s="28">
        <f>ROUND(AG17*(1-'Drivers &amp; Assumptions'!C9),0)+AH15</f>
        <v>4190</v>
      </c>
      <c r="AI17" s="28">
        <f>ROUND(AH17*(1-'Drivers &amp; Assumptions'!C9),0)+AI15</f>
        <v>4416</v>
      </c>
      <c r="AJ17" s="28">
        <f>ROUND(AI17*(1-'Drivers &amp; Assumptions'!C9),0)+AJ15</f>
        <v>4651</v>
      </c>
      <c r="AK17" s="28">
        <f>ROUND(AJ17*(1-'Drivers &amp; Assumptions'!C9),0)+AK15</f>
        <v>4897</v>
      </c>
      <c r="AL17" s="28">
        <f>ROUND(AK17*(1-'Drivers &amp; Assumptions'!C9),0)+AL15</f>
        <v>5154</v>
      </c>
      <c r="AM17" s="28">
        <f>ROUND(AL17*(1-'Drivers &amp; Assumptions'!C9),0)+AM15</f>
        <v>5423</v>
      </c>
      <c r="AN17" s="28">
        <f>ROUND(AM17*(1-'Drivers &amp; Assumptions'!C9),0)+AN15</f>
        <v>5704</v>
      </c>
      <c r="AO17" s="28">
        <f>ROUND(AN17*(1-'Drivers &amp; Assumptions'!C9),0)+AO15</f>
        <v>5998</v>
      </c>
      <c r="AP17" s="28">
        <f>ROUND(AO17*(1-'Drivers &amp; Assumptions'!C9),0)+AP15</f>
        <v>6306</v>
      </c>
      <c r="AQ17" s="28">
        <f>ROUND(AP17*(1-'Drivers &amp; Assumptions'!C9),0)+AQ15</f>
        <v>6628</v>
      </c>
      <c r="AR17" s="28">
        <f>ROUND(AQ17*(1-'Drivers &amp; Assumptions'!C9),0)+AR15</f>
        <v>6966</v>
      </c>
      <c r="AS17" s="28">
        <f>ROUND(AR17*(1-'Drivers &amp; Assumptions'!C9),0)+AS15</f>
        <v>7320</v>
      </c>
      <c r="AT17" s="28">
        <f>ROUND(AS17*(1-'Drivers &amp; Assumptions'!C9),0)+AT15</f>
        <v>7691</v>
      </c>
      <c r="AU17" s="28">
        <f>ROUND(AT17*(1-'Drivers &amp; Assumptions'!C9),0)+AU15</f>
        <v>8080</v>
      </c>
      <c r="AV17" s="28">
        <f>ROUND(AU17*(1-'Drivers &amp; Assumptions'!C9),0)+AV15</f>
        <v>8488</v>
      </c>
      <c r="AW17" s="28">
        <f>ROUND(AV17*(1-'Drivers &amp; Assumptions'!C9),0)+AW15</f>
        <v>8916</v>
      </c>
      <c r="AX17" s="28">
        <f>ROUND(AW17*(1-'Drivers &amp; Assumptions'!C9),0)+AX15</f>
        <v>9365</v>
      </c>
      <c r="AY17" s="28">
        <f>ROUND(AX17*(1-'Drivers &amp; Assumptions'!C9),0)+AY15</f>
        <v>9837</v>
      </c>
      <c r="AZ17" s="28">
        <f>ROUND(AY17*(1-'Drivers &amp; Assumptions'!C9),0)+AZ15</f>
        <v>10331</v>
      </c>
      <c r="BA17" s="28">
        <f>ROUND(AZ17*(1-'Drivers &amp; Assumptions'!C9),0)+BA15</f>
        <v>10850</v>
      </c>
      <c r="BB17" s="28">
        <f>ROUND(BA17*(1-'Drivers &amp; Assumptions'!C9),0)+BB15</f>
        <v>11395</v>
      </c>
      <c r="BC17" s="28">
        <f>ROUND(BB17*(1-'Drivers &amp; Assumptions'!C9),0)+BC15</f>
        <v>11968</v>
      </c>
      <c r="BD17" s="28">
        <f>ROUND(BC17*(1-'Drivers &amp; Assumptions'!C9),0)+BD15</f>
        <v>12568</v>
      </c>
      <c r="BE17" s="28">
        <f>ROUND(BD17*(1-'Drivers &amp; Assumptions'!C9),0)+BE15</f>
        <v>13198</v>
      </c>
      <c r="BF17" s="28">
        <f>ROUND(BE17*(1-'Drivers &amp; Assumptions'!C9),0)+BF15</f>
        <v>13859</v>
      </c>
      <c r="BG17" s="28">
        <f>ROUND(BF17*(1-'Drivers &amp; Assumptions'!C9),0)+BG15</f>
        <v>14553</v>
      </c>
      <c r="BH17" s="28">
        <f>ROUND(BG17*(1-'Drivers &amp; Assumptions'!C9),0)+BH15</f>
        <v>15282</v>
      </c>
      <c r="BI17" s="28">
        <f>ROUND(BH17*(1-'Drivers &amp; Assumptions'!C9),0)+BI15</f>
        <v>16048</v>
      </c>
    </row>
    <row r="18" spans="1:61" ht="15" customHeight="1" x14ac:dyDescent="0.35">
      <c r="A18" s="7" t="s">
        <v>217</v>
      </c>
      <c r="B18" s="45"/>
      <c r="C18" s="45"/>
      <c r="D18" s="45"/>
      <c r="E18" s="45"/>
      <c r="F18" s="45"/>
      <c r="G18" s="45"/>
      <c r="H18" s="45"/>
      <c r="I18" s="45"/>
      <c r="J18" s="48">
        <v>586</v>
      </c>
      <c r="K18" s="28">
        <f t="shared" ref="K18:AH18" si="2">J18+K16</f>
        <v>736</v>
      </c>
      <c r="L18" s="28">
        <f t="shared" si="2"/>
        <v>1051</v>
      </c>
      <c r="M18" s="28">
        <f t="shared" si="2"/>
        <v>1382</v>
      </c>
      <c r="N18" s="28">
        <f t="shared" si="2"/>
        <v>1729</v>
      </c>
      <c r="O18" s="28">
        <f t="shared" si="2"/>
        <v>2094</v>
      </c>
      <c r="P18" s="28">
        <f t="shared" si="2"/>
        <v>2477</v>
      </c>
      <c r="Q18" s="28">
        <f t="shared" si="2"/>
        <v>2879</v>
      </c>
      <c r="R18" s="28">
        <f t="shared" si="2"/>
        <v>3301</v>
      </c>
      <c r="S18" s="28">
        <f t="shared" si="2"/>
        <v>3744</v>
      </c>
      <c r="T18" s="28">
        <f t="shared" si="2"/>
        <v>4210</v>
      </c>
      <c r="U18" s="28">
        <f t="shared" si="2"/>
        <v>4698</v>
      </c>
      <c r="V18" s="28">
        <f t="shared" si="2"/>
        <v>5211</v>
      </c>
      <c r="W18" s="28">
        <f t="shared" si="2"/>
        <v>5750</v>
      </c>
      <c r="X18" s="28">
        <f t="shared" si="2"/>
        <v>6316</v>
      </c>
      <c r="Y18" s="28">
        <f t="shared" si="2"/>
        <v>6910</v>
      </c>
      <c r="Z18" s="28">
        <f t="shared" si="2"/>
        <v>7533</v>
      </c>
      <c r="AA18" s="28">
        <f t="shared" si="2"/>
        <v>8188</v>
      </c>
      <c r="AB18" s="28">
        <f t="shared" si="2"/>
        <v>8876</v>
      </c>
      <c r="AC18" s="28">
        <f t="shared" si="2"/>
        <v>9598</v>
      </c>
      <c r="AD18" s="28">
        <f t="shared" si="2"/>
        <v>10356</v>
      </c>
      <c r="AE18" s="28">
        <f t="shared" si="2"/>
        <v>11152</v>
      </c>
      <c r="AF18" s="28">
        <f t="shared" si="2"/>
        <v>11988</v>
      </c>
      <c r="AG18" s="28">
        <f t="shared" si="2"/>
        <v>12866</v>
      </c>
      <c r="AH18" s="28">
        <f t="shared" si="2"/>
        <v>13788</v>
      </c>
      <c r="AI18" s="28">
        <f t="shared" ref="AI18:BI18" si="3">AH18+AI16</f>
        <v>14756</v>
      </c>
      <c r="AJ18" s="28">
        <f t="shared" si="3"/>
        <v>15772</v>
      </c>
      <c r="AK18" s="28">
        <f t="shared" si="3"/>
        <v>16839</v>
      </c>
      <c r="AL18" s="28">
        <f t="shared" si="3"/>
        <v>17959</v>
      </c>
      <c r="AM18" s="28">
        <f t="shared" si="3"/>
        <v>19135</v>
      </c>
      <c r="AN18" s="28">
        <f t="shared" si="3"/>
        <v>20370</v>
      </c>
      <c r="AO18" s="28">
        <f t="shared" si="3"/>
        <v>21667</v>
      </c>
      <c r="AP18" s="28">
        <f t="shared" si="3"/>
        <v>23028</v>
      </c>
      <c r="AQ18" s="28">
        <f t="shared" si="3"/>
        <v>24457</v>
      </c>
      <c r="AR18" s="28">
        <f t="shared" si="3"/>
        <v>25958</v>
      </c>
      <c r="AS18" s="28">
        <f t="shared" si="3"/>
        <v>27534</v>
      </c>
      <c r="AT18" s="28">
        <f t="shared" si="3"/>
        <v>29189</v>
      </c>
      <c r="AU18" s="28">
        <f t="shared" si="3"/>
        <v>30927</v>
      </c>
      <c r="AV18" s="28">
        <f t="shared" si="3"/>
        <v>32752</v>
      </c>
      <c r="AW18" s="28">
        <f t="shared" si="3"/>
        <v>34668</v>
      </c>
      <c r="AX18" s="28">
        <f t="shared" si="3"/>
        <v>36679</v>
      </c>
      <c r="AY18" s="28">
        <f t="shared" si="3"/>
        <v>38791</v>
      </c>
      <c r="AZ18" s="28">
        <f t="shared" si="3"/>
        <v>41009</v>
      </c>
      <c r="BA18" s="28">
        <f t="shared" si="3"/>
        <v>43338</v>
      </c>
      <c r="BB18" s="28">
        <f t="shared" si="3"/>
        <v>45783</v>
      </c>
      <c r="BC18" s="28">
        <f t="shared" si="3"/>
        <v>48350</v>
      </c>
      <c r="BD18" s="28">
        <f t="shared" si="3"/>
        <v>51046</v>
      </c>
      <c r="BE18" s="28">
        <f t="shared" si="3"/>
        <v>53876</v>
      </c>
      <c r="BF18" s="28">
        <f t="shared" si="3"/>
        <v>56848</v>
      </c>
      <c r="BG18" s="28">
        <f t="shared" si="3"/>
        <v>59969</v>
      </c>
      <c r="BH18" s="28">
        <f t="shared" si="3"/>
        <v>63246</v>
      </c>
      <c r="BI18" s="28">
        <f t="shared" si="3"/>
        <v>66686</v>
      </c>
    </row>
    <row r="19" spans="1:61" ht="15" customHeight="1" x14ac:dyDescent="0.35">
      <c r="A19" s="7" t="s">
        <v>218</v>
      </c>
      <c r="B19" s="45"/>
      <c r="C19" s="45"/>
      <c r="D19" s="45"/>
      <c r="E19" s="45"/>
      <c r="F19" s="45"/>
      <c r="G19" s="45"/>
      <c r="H19" s="45"/>
      <c r="I19" s="45"/>
      <c r="J19" s="44"/>
      <c r="K19" s="28">
        <f>ROUND(K18*'Drivers &amp; Assumptions'!C10,0)</f>
        <v>37</v>
      </c>
      <c r="L19" s="28">
        <f>ROUND(L18*'Drivers &amp; Assumptions'!C10,0)</f>
        <v>53</v>
      </c>
      <c r="M19" s="28">
        <f>ROUND(M18*'Drivers &amp; Assumptions'!C10,0)</f>
        <v>69</v>
      </c>
      <c r="N19" s="28">
        <f>ROUND(N18*'Drivers &amp; Assumptions'!C10,0)</f>
        <v>86</v>
      </c>
      <c r="O19" s="28">
        <f>ROUND(O18*'Drivers &amp; Assumptions'!C10,0)</f>
        <v>105</v>
      </c>
      <c r="P19" s="28">
        <f>ROUND(P18*'Drivers &amp; Assumptions'!C10,0)</f>
        <v>124</v>
      </c>
      <c r="Q19" s="28">
        <f>ROUND(Q18*'Drivers &amp; Assumptions'!C10,0)</f>
        <v>144</v>
      </c>
      <c r="R19" s="28">
        <f>ROUND(R18*'Drivers &amp; Assumptions'!C10,0)</f>
        <v>165</v>
      </c>
      <c r="S19" s="28">
        <f>ROUND(S18*'Drivers &amp; Assumptions'!C10,0)</f>
        <v>187</v>
      </c>
      <c r="T19" s="28">
        <f>ROUND(T18*'Drivers &amp; Assumptions'!C10,0)</f>
        <v>211</v>
      </c>
      <c r="U19" s="28">
        <f>ROUND(U18*'Drivers &amp; Assumptions'!C10,0)</f>
        <v>235</v>
      </c>
      <c r="V19" s="28">
        <f>ROUND(V18*'Drivers &amp; Assumptions'!C10,0)</f>
        <v>261</v>
      </c>
      <c r="W19" s="28">
        <f>ROUND(W18*'Drivers &amp; Assumptions'!C10,0)</f>
        <v>288</v>
      </c>
      <c r="X19" s="28">
        <f>ROUND(X18*'Drivers &amp; Assumptions'!C10,0)</f>
        <v>316</v>
      </c>
      <c r="Y19" s="28">
        <f>ROUND(Y18*'Drivers &amp; Assumptions'!C10,0)</f>
        <v>346</v>
      </c>
      <c r="Z19" s="28">
        <f>ROUND(Z18*'Drivers &amp; Assumptions'!C10,0)</f>
        <v>377</v>
      </c>
      <c r="AA19" s="28">
        <f>ROUND(AA18*'Drivers &amp; Assumptions'!C10,0)</f>
        <v>409</v>
      </c>
      <c r="AB19" s="28">
        <f>ROUND(AB18*'Drivers &amp; Assumptions'!C10,0)</f>
        <v>444</v>
      </c>
      <c r="AC19" s="28">
        <f>ROUND(AC18*'Drivers &amp; Assumptions'!C10,0)</f>
        <v>480</v>
      </c>
      <c r="AD19" s="28">
        <f>ROUND(AD18*'Drivers &amp; Assumptions'!C10,0)</f>
        <v>518</v>
      </c>
      <c r="AE19" s="28">
        <f>ROUND(AE18*'Drivers &amp; Assumptions'!C10,0)</f>
        <v>558</v>
      </c>
      <c r="AF19" s="28">
        <f>ROUND(AF18*'Drivers &amp; Assumptions'!C10,0)</f>
        <v>599</v>
      </c>
      <c r="AG19" s="28">
        <f>ROUND(AG18*'Drivers &amp; Assumptions'!C10,0)</f>
        <v>643</v>
      </c>
      <c r="AH19" s="28">
        <f>ROUND(AH18*'Drivers &amp; Assumptions'!C10,0)</f>
        <v>689</v>
      </c>
      <c r="AI19" s="28">
        <f>ROUND(AI18*'Drivers &amp; Assumptions'!C10,0)</f>
        <v>738</v>
      </c>
      <c r="AJ19" s="28">
        <f>ROUND(AJ18*'Drivers &amp; Assumptions'!C10,0)</f>
        <v>789</v>
      </c>
      <c r="AK19" s="28">
        <f>ROUND(AK18*'Drivers &amp; Assumptions'!C10,0)</f>
        <v>842</v>
      </c>
      <c r="AL19" s="28">
        <f>ROUND(AL18*'Drivers &amp; Assumptions'!C10,0)</f>
        <v>898</v>
      </c>
      <c r="AM19" s="28">
        <f>ROUND(AM18*'Drivers &amp; Assumptions'!C10,0)</f>
        <v>957</v>
      </c>
      <c r="AN19" s="28">
        <f>ROUND(AN18*'Drivers &amp; Assumptions'!C10,0)</f>
        <v>1019</v>
      </c>
      <c r="AO19" s="28">
        <f>ROUND(AO18*'Drivers &amp; Assumptions'!C10,0)</f>
        <v>1083</v>
      </c>
      <c r="AP19" s="28">
        <f>ROUND(AP18*'Drivers &amp; Assumptions'!C10,0)</f>
        <v>1151</v>
      </c>
      <c r="AQ19" s="28">
        <f>ROUND(AQ18*'Drivers &amp; Assumptions'!C10,0)</f>
        <v>1223</v>
      </c>
      <c r="AR19" s="28">
        <f>ROUND(AR18*'Drivers &amp; Assumptions'!C10,0)</f>
        <v>1298</v>
      </c>
      <c r="AS19" s="28">
        <f>ROUND(AS18*'Drivers &amp; Assumptions'!C10,0)</f>
        <v>1377</v>
      </c>
      <c r="AT19" s="28">
        <f>ROUND(AT18*'Drivers &amp; Assumptions'!C10,0)</f>
        <v>1459</v>
      </c>
      <c r="AU19" s="28">
        <f>ROUND(AU18*'Drivers &amp; Assumptions'!C10,0)</f>
        <v>1546</v>
      </c>
      <c r="AV19" s="28">
        <f>ROUND(AV18*'Drivers &amp; Assumptions'!C10,0)</f>
        <v>1638</v>
      </c>
      <c r="AW19" s="28">
        <f>ROUND(AW18*'Drivers &amp; Assumptions'!C10,0)</f>
        <v>1733</v>
      </c>
      <c r="AX19" s="28">
        <f>ROUND(AX18*'Drivers &amp; Assumptions'!C10,0)</f>
        <v>1834</v>
      </c>
      <c r="AY19" s="28">
        <f>ROUND(AY18*'Drivers &amp; Assumptions'!C10,0)</f>
        <v>1940</v>
      </c>
      <c r="AZ19" s="28">
        <f>ROUND(AZ18*'Drivers &amp; Assumptions'!C10,0)</f>
        <v>2050</v>
      </c>
      <c r="BA19" s="28">
        <f>ROUND(BA18*'Drivers &amp; Assumptions'!C10,0)</f>
        <v>2167</v>
      </c>
      <c r="BB19" s="28">
        <f>ROUND(BB18*'Drivers &amp; Assumptions'!C10,0)</f>
        <v>2289</v>
      </c>
      <c r="BC19" s="28">
        <f>ROUND(BC18*'Drivers &amp; Assumptions'!C10,0)</f>
        <v>2418</v>
      </c>
      <c r="BD19" s="28">
        <f>ROUND(BD18*'Drivers &amp; Assumptions'!C10,0)</f>
        <v>2552</v>
      </c>
      <c r="BE19" s="28">
        <f>ROUND(BE18*'Drivers &amp; Assumptions'!C10,0)</f>
        <v>2694</v>
      </c>
      <c r="BF19" s="28">
        <f>ROUND(BF18*'Drivers &amp; Assumptions'!C10,0)</f>
        <v>2842</v>
      </c>
      <c r="BG19" s="28">
        <f>ROUND(BG18*'Drivers &amp; Assumptions'!C10,0)</f>
        <v>2998</v>
      </c>
      <c r="BH19" s="28">
        <f>ROUND(BH18*'Drivers &amp; Assumptions'!C10,0)</f>
        <v>3162</v>
      </c>
      <c r="BI19" s="28">
        <f>ROUND(BI18*'Drivers &amp; Assumptions'!C10,0)</f>
        <v>3334</v>
      </c>
    </row>
    <row r="21" spans="1:61" ht="15" customHeight="1" x14ac:dyDescent="0.35">
      <c r="A21" s="5" t="s">
        <v>219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</row>
    <row r="22" spans="1:61" ht="15" customHeight="1" x14ac:dyDescent="0.35">
      <c r="A22" s="7" t="s">
        <v>220</v>
      </c>
      <c r="B22" s="28">
        <f t="shared" ref="B22:AG22" si="4">B17</f>
        <v>0</v>
      </c>
      <c r="C22" s="28">
        <f t="shared" si="4"/>
        <v>0</v>
      </c>
      <c r="D22" s="28">
        <f t="shared" si="4"/>
        <v>0</v>
      </c>
      <c r="E22" s="28">
        <f t="shared" si="4"/>
        <v>0</v>
      </c>
      <c r="F22" s="28">
        <f t="shared" si="4"/>
        <v>0</v>
      </c>
      <c r="G22" s="28">
        <f t="shared" si="4"/>
        <v>0</v>
      </c>
      <c r="H22" s="28">
        <f t="shared" si="4"/>
        <v>0</v>
      </c>
      <c r="I22" s="28">
        <f t="shared" si="4"/>
        <v>0</v>
      </c>
      <c r="J22" s="28">
        <f t="shared" si="4"/>
        <v>67</v>
      </c>
      <c r="K22" s="28">
        <f t="shared" si="4"/>
        <v>160</v>
      </c>
      <c r="L22" s="28">
        <f t="shared" si="4"/>
        <v>354</v>
      </c>
      <c r="M22" s="28">
        <f t="shared" si="4"/>
        <v>539</v>
      </c>
      <c r="N22" s="28">
        <f t="shared" si="4"/>
        <v>717</v>
      </c>
      <c r="O22" s="28">
        <f t="shared" si="4"/>
        <v>888</v>
      </c>
      <c r="P22" s="28">
        <f t="shared" si="4"/>
        <v>1054</v>
      </c>
      <c r="Q22" s="28">
        <f t="shared" si="4"/>
        <v>1217</v>
      </c>
      <c r="R22" s="28">
        <f t="shared" si="4"/>
        <v>1377</v>
      </c>
      <c r="S22" s="28">
        <f t="shared" si="4"/>
        <v>1535</v>
      </c>
      <c r="T22" s="28">
        <f t="shared" si="4"/>
        <v>1692</v>
      </c>
      <c r="U22" s="28">
        <f t="shared" si="4"/>
        <v>1849</v>
      </c>
      <c r="V22" s="28">
        <f t="shared" si="4"/>
        <v>2006</v>
      </c>
      <c r="W22" s="28">
        <f t="shared" si="4"/>
        <v>2164</v>
      </c>
      <c r="X22" s="28">
        <f t="shared" si="4"/>
        <v>2325</v>
      </c>
      <c r="Y22" s="28">
        <f t="shared" si="4"/>
        <v>2489</v>
      </c>
      <c r="Z22" s="28">
        <f t="shared" si="4"/>
        <v>2656</v>
      </c>
      <c r="AA22" s="28">
        <f t="shared" si="4"/>
        <v>2826</v>
      </c>
      <c r="AB22" s="28">
        <f t="shared" si="4"/>
        <v>3001</v>
      </c>
      <c r="AC22" s="28">
        <f t="shared" si="4"/>
        <v>3182</v>
      </c>
      <c r="AD22" s="28">
        <f t="shared" si="4"/>
        <v>3369</v>
      </c>
      <c r="AE22" s="28">
        <f t="shared" si="4"/>
        <v>3563</v>
      </c>
      <c r="AF22" s="28">
        <f t="shared" si="4"/>
        <v>3764</v>
      </c>
      <c r="AG22" s="28">
        <f t="shared" si="4"/>
        <v>3973</v>
      </c>
      <c r="AH22" s="28">
        <f t="shared" ref="AH22:BI22" si="5">AH17</f>
        <v>4190</v>
      </c>
      <c r="AI22" s="28">
        <f t="shared" si="5"/>
        <v>4416</v>
      </c>
      <c r="AJ22" s="28">
        <f t="shared" si="5"/>
        <v>4651</v>
      </c>
      <c r="AK22" s="28">
        <f t="shared" si="5"/>
        <v>4897</v>
      </c>
      <c r="AL22" s="28">
        <f t="shared" si="5"/>
        <v>5154</v>
      </c>
      <c r="AM22" s="28">
        <f t="shared" si="5"/>
        <v>5423</v>
      </c>
      <c r="AN22" s="28">
        <f t="shared" si="5"/>
        <v>5704</v>
      </c>
      <c r="AO22" s="28">
        <f t="shared" si="5"/>
        <v>5998</v>
      </c>
      <c r="AP22" s="28">
        <f t="shared" si="5"/>
        <v>6306</v>
      </c>
      <c r="AQ22" s="28">
        <f t="shared" si="5"/>
        <v>6628</v>
      </c>
      <c r="AR22" s="28">
        <f t="shared" si="5"/>
        <v>6966</v>
      </c>
      <c r="AS22" s="28">
        <f t="shared" si="5"/>
        <v>7320</v>
      </c>
      <c r="AT22" s="28">
        <f t="shared" si="5"/>
        <v>7691</v>
      </c>
      <c r="AU22" s="28">
        <f t="shared" si="5"/>
        <v>8080</v>
      </c>
      <c r="AV22" s="28">
        <f t="shared" si="5"/>
        <v>8488</v>
      </c>
      <c r="AW22" s="28">
        <f t="shared" si="5"/>
        <v>8916</v>
      </c>
      <c r="AX22" s="28">
        <f t="shared" si="5"/>
        <v>9365</v>
      </c>
      <c r="AY22" s="28">
        <f t="shared" si="5"/>
        <v>9837</v>
      </c>
      <c r="AZ22" s="28">
        <f t="shared" si="5"/>
        <v>10331</v>
      </c>
      <c r="BA22" s="28">
        <f t="shared" si="5"/>
        <v>10850</v>
      </c>
      <c r="BB22" s="28">
        <f t="shared" si="5"/>
        <v>11395</v>
      </c>
      <c r="BC22" s="28">
        <f t="shared" si="5"/>
        <v>11968</v>
      </c>
      <c r="BD22" s="28">
        <f t="shared" si="5"/>
        <v>12568</v>
      </c>
      <c r="BE22" s="28">
        <f t="shared" si="5"/>
        <v>13198</v>
      </c>
      <c r="BF22" s="28">
        <f t="shared" si="5"/>
        <v>13859</v>
      </c>
      <c r="BG22" s="28">
        <f t="shared" si="5"/>
        <v>14553</v>
      </c>
      <c r="BH22" s="28">
        <f t="shared" si="5"/>
        <v>15282</v>
      </c>
      <c r="BI22" s="28">
        <f t="shared" si="5"/>
        <v>16048</v>
      </c>
    </row>
    <row r="23" spans="1:61" ht="15" customHeight="1" x14ac:dyDescent="0.35">
      <c r="A23" s="7" t="s">
        <v>221</v>
      </c>
      <c r="B23" s="28">
        <f t="shared" ref="B23:AG23" si="6">B16</f>
        <v>0</v>
      </c>
      <c r="C23" s="28">
        <f t="shared" si="6"/>
        <v>0</v>
      </c>
      <c r="D23" s="28">
        <f t="shared" si="6"/>
        <v>0</v>
      </c>
      <c r="E23" s="28">
        <f t="shared" si="6"/>
        <v>0</v>
      </c>
      <c r="F23" s="28">
        <f t="shared" si="6"/>
        <v>0</v>
      </c>
      <c r="G23" s="28">
        <f t="shared" si="6"/>
        <v>0</v>
      </c>
      <c r="H23" s="28">
        <f t="shared" si="6"/>
        <v>0</v>
      </c>
      <c r="I23" s="28">
        <f t="shared" si="6"/>
        <v>0</v>
      </c>
      <c r="J23" s="28">
        <f t="shared" si="6"/>
        <v>0</v>
      </c>
      <c r="K23" s="28">
        <f t="shared" si="6"/>
        <v>150</v>
      </c>
      <c r="L23" s="28">
        <f t="shared" si="6"/>
        <v>315</v>
      </c>
      <c r="M23" s="28">
        <f t="shared" si="6"/>
        <v>331</v>
      </c>
      <c r="N23" s="28">
        <f t="shared" si="6"/>
        <v>347</v>
      </c>
      <c r="O23" s="28">
        <f t="shared" si="6"/>
        <v>365</v>
      </c>
      <c r="P23" s="28">
        <f t="shared" si="6"/>
        <v>383</v>
      </c>
      <c r="Q23" s="28">
        <f t="shared" si="6"/>
        <v>402</v>
      </c>
      <c r="R23" s="28">
        <f t="shared" si="6"/>
        <v>422</v>
      </c>
      <c r="S23" s="28">
        <f t="shared" si="6"/>
        <v>443</v>
      </c>
      <c r="T23" s="28">
        <f t="shared" si="6"/>
        <v>466</v>
      </c>
      <c r="U23" s="28">
        <f t="shared" si="6"/>
        <v>488</v>
      </c>
      <c r="V23" s="28">
        <f t="shared" si="6"/>
        <v>513</v>
      </c>
      <c r="W23" s="28">
        <f t="shared" si="6"/>
        <v>539</v>
      </c>
      <c r="X23" s="28">
        <f t="shared" si="6"/>
        <v>566</v>
      </c>
      <c r="Y23" s="28">
        <f t="shared" si="6"/>
        <v>594</v>
      </c>
      <c r="Z23" s="28">
        <f t="shared" si="6"/>
        <v>623</v>
      </c>
      <c r="AA23" s="28">
        <f t="shared" si="6"/>
        <v>655</v>
      </c>
      <c r="AB23" s="28">
        <f t="shared" si="6"/>
        <v>688</v>
      </c>
      <c r="AC23" s="28">
        <f t="shared" si="6"/>
        <v>722</v>
      </c>
      <c r="AD23" s="28">
        <f t="shared" si="6"/>
        <v>758</v>
      </c>
      <c r="AE23" s="28">
        <f t="shared" si="6"/>
        <v>796</v>
      </c>
      <c r="AF23" s="28">
        <f t="shared" si="6"/>
        <v>836</v>
      </c>
      <c r="AG23" s="28">
        <f t="shared" si="6"/>
        <v>878</v>
      </c>
      <c r="AH23" s="28">
        <f t="shared" ref="AH23:BI23" si="7">AH16</f>
        <v>922</v>
      </c>
      <c r="AI23" s="28">
        <f t="shared" si="7"/>
        <v>968</v>
      </c>
      <c r="AJ23" s="28">
        <f t="shared" si="7"/>
        <v>1016</v>
      </c>
      <c r="AK23" s="28">
        <f t="shared" si="7"/>
        <v>1067</v>
      </c>
      <c r="AL23" s="28">
        <f t="shared" si="7"/>
        <v>1120</v>
      </c>
      <c r="AM23" s="28">
        <f t="shared" si="7"/>
        <v>1176</v>
      </c>
      <c r="AN23" s="28">
        <f t="shared" si="7"/>
        <v>1235</v>
      </c>
      <c r="AO23" s="28">
        <f t="shared" si="7"/>
        <v>1297</v>
      </c>
      <c r="AP23" s="28">
        <f t="shared" si="7"/>
        <v>1361</v>
      </c>
      <c r="AQ23" s="28">
        <f t="shared" si="7"/>
        <v>1429</v>
      </c>
      <c r="AR23" s="28">
        <f t="shared" si="7"/>
        <v>1501</v>
      </c>
      <c r="AS23" s="28">
        <f t="shared" si="7"/>
        <v>1576</v>
      </c>
      <c r="AT23" s="28">
        <f t="shared" si="7"/>
        <v>1655</v>
      </c>
      <c r="AU23" s="28">
        <f t="shared" si="7"/>
        <v>1738</v>
      </c>
      <c r="AV23" s="28">
        <f t="shared" si="7"/>
        <v>1825</v>
      </c>
      <c r="AW23" s="28">
        <f t="shared" si="7"/>
        <v>1916</v>
      </c>
      <c r="AX23" s="28">
        <f t="shared" si="7"/>
        <v>2011</v>
      </c>
      <c r="AY23" s="28">
        <f t="shared" si="7"/>
        <v>2112</v>
      </c>
      <c r="AZ23" s="28">
        <f t="shared" si="7"/>
        <v>2218</v>
      </c>
      <c r="BA23" s="28">
        <f t="shared" si="7"/>
        <v>2329</v>
      </c>
      <c r="BB23" s="28">
        <f t="shared" si="7"/>
        <v>2445</v>
      </c>
      <c r="BC23" s="28">
        <f t="shared" si="7"/>
        <v>2567</v>
      </c>
      <c r="BD23" s="28">
        <f t="shared" si="7"/>
        <v>2696</v>
      </c>
      <c r="BE23" s="28">
        <f t="shared" si="7"/>
        <v>2830</v>
      </c>
      <c r="BF23" s="28">
        <f t="shared" si="7"/>
        <v>2972</v>
      </c>
      <c r="BG23" s="28">
        <f t="shared" si="7"/>
        <v>3121</v>
      </c>
      <c r="BH23" s="28">
        <f t="shared" si="7"/>
        <v>3277</v>
      </c>
      <c r="BI23" s="28">
        <f t="shared" si="7"/>
        <v>3440</v>
      </c>
    </row>
    <row r="24" spans="1:61" ht="15" customHeight="1" x14ac:dyDescent="0.35">
      <c r="A24" s="7" t="s">
        <v>218</v>
      </c>
      <c r="B24" s="28">
        <f t="shared" ref="B24:AG24" si="8">B19</f>
        <v>0</v>
      </c>
      <c r="C24" s="28">
        <f t="shared" si="8"/>
        <v>0</v>
      </c>
      <c r="D24" s="28">
        <f t="shared" si="8"/>
        <v>0</v>
      </c>
      <c r="E24" s="28">
        <f t="shared" si="8"/>
        <v>0</v>
      </c>
      <c r="F24" s="28">
        <f t="shared" si="8"/>
        <v>0</v>
      </c>
      <c r="G24" s="28">
        <f t="shared" si="8"/>
        <v>0</v>
      </c>
      <c r="H24" s="28">
        <f t="shared" si="8"/>
        <v>0</v>
      </c>
      <c r="I24" s="28">
        <f t="shared" si="8"/>
        <v>0</v>
      </c>
      <c r="J24" s="28">
        <f t="shared" si="8"/>
        <v>0</v>
      </c>
      <c r="K24" s="28">
        <f t="shared" si="8"/>
        <v>37</v>
      </c>
      <c r="L24" s="28">
        <f t="shared" si="8"/>
        <v>53</v>
      </c>
      <c r="M24" s="28">
        <f t="shared" si="8"/>
        <v>69</v>
      </c>
      <c r="N24" s="28">
        <f t="shared" si="8"/>
        <v>86</v>
      </c>
      <c r="O24" s="28">
        <f t="shared" si="8"/>
        <v>105</v>
      </c>
      <c r="P24" s="28">
        <f t="shared" si="8"/>
        <v>124</v>
      </c>
      <c r="Q24" s="28">
        <f t="shared" si="8"/>
        <v>144</v>
      </c>
      <c r="R24" s="28">
        <f t="shared" si="8"/>
        <v>165</v>
      </c>
      <c r="S24" s="28">
        <f t="shared" si="8"/>
        <v>187</v>
      </c>
      <c r="T24" s="28">
        <f t="shared" si="8"/>
        <v>211</v>
      </c>
      <c r="U24" s="28">
        <f t="shared" si="8"/>
        <v>235</v>
      </c>
      <c r="V24" s="28">
        <f t="shared" si="8"/>
        <v>261</v>
      </c>
      <c r="W24" s="28">
        <f t="shared" si="8"/>
        <v>288</v>
      </c>
      <c r="X24" s="28">
        <f t="shared" si="8"/>
        <v>316</v>
      </c>
      <c r="Y24" s="28">
        <f t="shared" si="8"/>
        <v>346</v>
      </c>
      <c r="Z24" s="28">
        <f t="shared" si="8"/>
        <v>377</v>
      </c>
      <c r="AA24" s="28">
        <f t="shared" si="8"/>
        <v>409</v>
      </c>
      <c r="AB24" s="28">
        <f t="shared" si="8"/>
        <v>444</v>
      </c>
      <c r="AC24" s="28">
        <f t="shared" si="8"/>
        <v>480</v>
      </c>
      <c r="AD24" s="28">
        <f t="shared" si="8"/>
        <v>518</v>
      </c>
      <c r="AE24" s="28">
        <f t="shared" si="8"/>
        <v>558</v>
      </c>
      <c r="AF24" s="28">
        <f t="shared" si="8"/>
        <v>599</v>
      </c>
      <c r="AG24" s="28">
        <f t="shared" si="8"/>
        <v>643</v>
      </c>
      <c r="AH24" s="28">
        <f t="shared" ref="AH24:BI24" si="9">AH19</f>
        <v>689</v>
      </c>
      <c r="AI24" s="28">
        <f t="shared" si="9"/>
        <v>738</v>
      </c>
      <c r="AJ24" s="28">
        <f t="shared" si="9"/>
        <v>789</v>
      </c>
      <c r="AK24" s="28">
        <f t="shared" si="9"/>
        <v>842</v>
      </c>
      <c r="AL24" s="28">
        <f t="shared" si="9"/>
        <v>898</v>
      </c>
      <c r="AM24" s="28">
        <f t="shared" si="9"/>
        <v>957</v>
      </c>
      <c r="AN24" s="28">
        <f t="shared" si="9"/>
        <v>1019</v>
      </c>
      <c r="AO24" s="28">
        <f t="shared" si="9"/>
        <v>1083</v>
      </c>
      <c r="AP24" s="28">
        <f t="shared" si="9"/>
        <v>1151</v>
      </c>
      <c r="AQ24" s="28">
        <f t="shared" si="9"/>
        <v>1223</v>
      </c>
      <c r="AR24" s="28">
        <f t="shared" si="9"/>
        <v>1298</v>
      </c>
      <c r="AS24" s="28">
        <f t="shared" si="9"/>
        <v>1377</v>
      </c>
      <c r="AT24" s="28">
        <f t="shared" si="9"/>
        <v>1459</v>
      </c>
      <c r="AU24" s="28">
        <f t="shared" si="9"/>
        <v>1546</v>
      </c>
      <c r="AV24" s="28">
        <f t="shared" si="9"/>
        <v>1638</v>
      </c>
      <c r="AW24" s="28">
        <f t="shared" si="9"/>
        <v>1733</v>
      </c>
      <c r="AX24" s="28">
        <f t="shared" si="9"/>
        <v>1834</v>
      </c>
      <c r="AY24" s="28">
        <f t="shared" si="9"/>
        <v>1940</v>
      </c>
      <c r="AZ24" s="28">
        <f t="shared" si="9"/>
        <v>2050</v>
      </c>
      <c r="BA24" s="28">
        <f t="shared" si="9"/>
        <v>2167</v>
      </c>
      <c r="BB24" s="28">
        <f t="shared" si="9"/>
        <v>2289</v>
      </c>
      <c r="BC24" s="28">
        <f t="shared" si="9"/>
        <v>2418</v>
      </c>
      <c r="BD24" s="28">
        <f t="shared" si="9"/>
        <v>2552</v>
      </c>
      <c r="BE24" s="28">
        <f t="shared" si="9"/>
        <v>2694</v>
      </c>
      <c r="BF24" s="28">
        <f t="shared" si="9"/>
        <v>2842</v>
      </c>
      <c r="BG24" s="28">
        <f t="shared" si="9"/>
        <v>2998</v>
      </c>
      <c r="BH24" s="28">
        <f t="shared" si="9"/>
        <v>3162</v>
      </c>
      <c r="BI24" s="28">
        <f t="shared" si="9"/>
        <v>3334</v>
      </c>
    </row>
    <row r="25" spans="1:61" ht="15" customHeight="1" x14ac:dyDescent="0.35">
      <c r="A25" s="10" t="s">
        <v>222</v>
      </c>
      <c r="B25" s="29">
        <f t="shared" ref="B25:AG25" si="10">B22+B23+B24</f>
        <v>0</v>
      </c>
      <c r="C25" s="29">
        <f t="shared" si="10"/>
        <v>0</v>
      </c>
      <c r="D25" s="29">
        <f t="shared" si="10"/>
        <v>0</v>
      </c>
      <c r="E25" s="29">
        <f t="shared" si="10"/>
        <v>0</v>
      </c>
      <c r="F25" s="29">
        <f t="shared" si="10"/>
        <v>0</v>
      </c>
      <c r="G25" s="29">
        <f t="shared" si="10"/>
        <v>0</v>
      </c>
      <c r="H25" s="29">
        <f t="shared" si="10"/>
        <v>0</v>
      </c>
      <c r="I25" s="29">
        <f t="shared" si="10"/>
        <v>0</v>
      </c>
      <c r="J25" s="29">
        <f t="shared" si="10"/>
        <v>67</v>
      </c>
      <c r="K25" s="29">
        <f t="shared" si="10"/>
        <v>347</v>
      </c>
      <c r="L25" s="29">
        <f t="shared" si="10"/>
        <v>722</v>
      </c>
      <c r="M25" s="29">
        <f t="shared" si="10"/>
        <v>939</v>
      </c>
      <c r="N25" s="29">
        <f t="shared" si="10"/>
        <v>1150</v>
      </c>
      <c r="O25" s="29">
        <f t="shared" si="10"/>
        <v>1358</v>
      </c>
      <c r="P25" s="29">
        <f t="shared" si="10"/>
        <v>1561</v>
      </c>
      <c r="Q25" s="29">
        <f t="shared" si="10"/>
        <v>1763</v>
      </c>
      <c r="R25" s="29">
        <f t="shared" si="10"/>
        <v>1964</v>
      </c>
      <c r="S25" s="29">
        <f t="shared" si="10"/>
        <v>2165</v>
      </c>
      <c r="T25" s="29">
        <f t="shared" si="10"/>
        <v>2369</v>
      </c>
      <c r="U25" s="29">
        <f t="shared" si="10"/>
        <v>2572</v>
      </c>
      <c r="V25" s="29">
        <f t="shared" si="10"/>
        <v>2780</v>
      </c>
      <c r="W25" s="29">
        <f t="shared" si="10"/>
        <v>2991</v>
      </c>
      <c r="X25" s="29">
        <f t="shared" si="10"/>
        <v>3207</v>
      </c>
      <c r="Y25" s="29">
        <f t="shared" si="10"/>
        <v>3429</v>
      </c>
      <c r="Z25" s="29">
        <f t="shared" si="10"/>
        <v>3656</v>
      </c>
      <c r="AA25" s="29">
        <f t="shared" si="10"/>
        <v>3890</v>
      </c>
      <c r="AB25" s="29">
        <f t="shared" si="10"/>
        <v>4133</v>
      </c>
      <c r="AC25" s="29">
        <f t="shared" si="10"/>
        <v>4384</v>
      </c>
      <c r="AD25" s="29">
        <f t="shared" si="10"/>
        <v>4645</v>
      </c>
      <c r="AE25" s="29">
        <f t="shared" si="10"/>
        <v>4917</v>
      </c>
      <c r="AF25" s="29">
        <f t="shared" si="10"/>
        <v>5199</v>
      </c>
      <c r="AG25" s="29">
        <f t="shared" si="10"/>
        <v>5494</v>
      </c>
      <c r="AH25" s="29">
        <f t="shared" ref="AH25:BI25" si="11">AH22+AH23+AH24</f>
        <v>5801</v>
      </c>
      <c r="AI25" s="29">
        <f t="shared" si="11"/>
        <v>6122</v>
      </c>
      <c r="AJ25" s="29">
        <f t="shared" si="11"/>
        <v>6456</v>
      </c>
      <c r="AK25" s="29">
        <f t="shared" si="11"/>
        <v>6806</v>
      </c>
      <c r="AL25" s="29">
        <f t="shared" si="11"/>
        <v>7172</v>
      </c>
      <c r="AM25" s="29">
        <f t="shared" si="11"/>
        <v>7556</v>
      </c>
      <c r="AN25" s="29">
        <f t="shared" si="11"/>
        <v>7958</v>
      </c>
      <c r="AO25" s="29">
        <f t="shared" si="11"/>
        <v>8378</v>
      </c>
      <c r="AP25" s="29">
        <f t="shared" si="11"/>
        <v>8818</v>
      </c>
      <c r="AQ25" s="29">
        <f t="shared" si="11"/>
        <v>9280</v>
      </c>
      <c r="AR25" s="29">
        <f t="shared" si="11"/>
        <v>9765</v>
      </c>
      <c r="AS25" s="29">
        <f t="shared" si="11"/>
        <v>10273</v>
      </c>
      <c r="AT25" s="29">
        <f t="shared" si="11"/>
        <v>10805</v>
      </c>
      <c r="AU25" s="29">
        <f t="shared" si="11"/>
        <v>11364</v>
      </c>
      <c r="AV25" s="29">
        <f t="shared" si="11"/>
        <v>11951</v>
      </c>
      <c r="AW25" s="29">
        <f t="shared" si="11"/>
        <v>12565</v>
      </c>
      <c r="AX25" s="29">
        <f t="shared" si="11"/>
        <v>13210</v>
      </c>
      <c r="AY25" s="29">
        <f t="shared" si="11"/>
        <v>13889</v>
      </c>
      <c r="AZ25" s="29">
        <f t="shared" si="11"/>
        <v>14599</v>
      </c>
      <c r="BA25" s="29">
        <f t="shared" si="11"/>
        <v>15346</v>
      </c>
      <c r="BB25" s="29">
        <f t="shared" si="11"/>
        <v>16129</v>
      </c>
      <c r="BC25" s="29">
        <f t="shared" si="11"/>
        <v>16953</v>
      </c>
      <c r="BD25" s="29">
        <f t="shared" si="11"/>
        <v>17816</v>
      </c>
      <c r="BE25" s="29">
        <f t="shared" si="11"/>
        <v>18722</v>
      </c>
      <c r="BF25" s="29">
        <f t="shared" si="11"/>
        <v>19673</v>
      </c>
      <c r="BG25" s="29">
        <f t="shared" si="11"/>
        <v>20672</v>
      </c>
      <c r="BH25" s="29">
        <f t="shared" si="11"/>
        <v>21721</v>
      </c>
      <c r="BI25" s="29">
        <f t="shared" si="11"/>
        <v>22822</v>
      </c>
    </row>
    <row r="27" spans="1:61" ht="15" customHeight="1" x14ac:dyDescent="0.35">
      <c r="A27" s="10" t="s">
        <v>223</v>
      </c>
      <c r="B27" s="30">
        <f>B25*'Drivers &amp; Assumptions'!C6</f>
        <v>0</v>
      </c>
      <c r="C27" s="30">
        <f>C25*'Drivers &amp; Assumptions'!C6</f>
        <v>0</v>
      </c>
      <c r="D27" s="30">
        <f>D25*'Drivers &amp; Assumptions'!C6</f>
        <v>0</v>
      </c>
      <c r="E27" s="30">
        <f>E25*'Drivers &amp; Assumptions'!C6</f>
        <v>0</v>
      </c>
      <c r="F27" s="30">
        <f>F25*'Drivers &amp; Assumptions'!C6</f>
        <v>0</v>
      </c>
      <c r="G27" s="30">
        <f>G25*'Drivers &amp; Assumptions'!C6</f>
        <v>0</v>
      </c>
      <c r="H27" s="30">
        <f>H25*'Drivers &amp; Assumptions'!C6</f>
        <v>0</v>
      </c>
      <c r="I27" s="30">
        <f>I25*'Drivers &amp; Assumptions'!C6</f>
        <v>0</v>
      </c>
      <c r="J27" s="30">
        <f>J25*'Drivers &amp; Assumptions'!C6</f>
        <v>8442</v>
      </c>
      <c r="K27" s="30">
        <f>K25*'Drivers &amp; Assumptions'!C6</f>
        <v>43722</v>
      </c>
      <c r="L27" s="30">
        <f>L25*'Drivers &amp; Assumptions'!C6</f>
        <v>90972</v>
      </c>
      <c r="M27" s="30">
        <f>M25*'Drivers &amp; Assumptions'!C6</f>
        <v>118314</v>
      </c>
      <c r="N27" s="30">
        <f>N25*'Drivers &amp; Assumptions'!C6</f>
        <v>144900</v>
      </c>
      <c r="O27" s="30">
        <f>O25*'Drivers &amp; Assumptions'!C6</f>
        <v>171108</v>
      </c>
      <c r="P27" s="30">
        <f>P25*'Drivers &amp; Assumptions'!C6</f>
        <v>196686</v>
      </c>
      <c r="Q27" s="30">
        <f>Q25*'Drivers &amp; Assumptions'!C6</f>
        <v>222138</v>
      </c>
      <c r="R27" s="30">
        <f>R25*'Drivers &amp; Assumptions'!C6</f>
        <v>247464</v>
      </c>
      <c r="S27" s="30">
        <f>S25*'Drivers &amp; Assumptions'!C6</f>
        <v>272790</v>
      </c>
      <c r="T27" s="30">
        <f>T25*'Drivers &amp; Assumptions'!C6</f>
        <v>298494</v>
      </c>
      <c r="U27" s="30">
        <f>U25*'Drivers &amp; Assumptions'!C6</f>
        <v>324072</v>
      </c>
      <c r="V27" s="30">
        <f>V25*'Drivers &amp; Assumptions'!C6</f>
        <v>350280</v>
      </c>
      <c r="W27" s="30">
        <f>W25*'Drivers &amp; Assumptions'!C6</f>
        <v>376866</v>
      </c>
      <c r="X27" s="30">
        <f>X25*'Drivers &amp; Assumptions'!C6</f>
        <v>404082</v>
      </c>
      <c r="Y27" s="30">
        <f>Y25*'Drivers &amp; Assumptions'!C6</f>
        <v>432054</v>
      </c>
      <c r="Z27" s="30">
        <f>Z25*'Drivers &amp; Assumptions'!C6</f>
        <v>460656</v>
      </c>
      <c r="AA27" s="30">
        <f>AA25*'Drivers &amp; Assumptions'!C6</f>
        <v>490140</v>
      </c>
      <c r="AB27" s="30">
        <f>AB25*'Drivers &amp; Assumptions'!C6</f>
        <v>520758</v>
      </c>
      <c r="AC27" s="30">
        <f>AC25*'Drivers &amp; Assumptions'!C6</f>
        <v>552384</v>
      </c>
      <c r="AD27" s="30">
        <f>AD25*'Drivers &amp; Assumptions'!C6</f>
        <v>585270</v>
      </c>
      <c r="AE27" s="30">
        <f>AE25*'Drivers &amp; Assumptions'!C6</f>
        <v>619542</v>
      </c>
      <c r="AF27" s="30">
        <f>AF25*'Drivers &amp; Assumptions'!C6</f>
        <v>655074</v>
      </c>
      <c r="AG27" s="30">
        <f>AG25*'Drivers &amp; Assumptions'!C6</f>
        <v>692244</v>
      </c>
      <c r="AH27" s="30">
        <f>AH25*'Drivers &amp; Assumptions'!C6</f>
        <v>730926</v>
      </c>
      <c r="AI27" s="30">
        <f>AI25*'Drivers &amp; Assumptions'!C6</f>
        <v>771372</v>
      </c>
      <c r="AJ27" s="30">
        <f>AJ25*'Drivers &amp; Assumptions'!C6</f>
        <v>813456</v>
      </c>
      <c r="AK27" s="30">
        <f>AK25*'Drivers &amp; Assumptions'!C6</f>
        <v>857556</v>
      </c>
      <c r="AL27" s="30">
        <f>AL25*'Drivers &amp; Assumptions'!C6</f>
        <v>903672</v>
      </c>
      <c r="AM27" s="30">
        <f>AM25*'Drivers &amp; Assumptions'!C6</f>
        <v>952056</v>
      </c>
      <c r="AN27" s="30">
        <f>AN25*'Drivers &amp; Assumptions'!C6</f>
        <v>1002708</v>
      </c>
      <c r="AO27" s="30">
        <f>AO25*'Drivers &amp; Assumptions'!C6</f>
        <v>1055628</v>
      </c>
      <c r="AP27" s="30">
        <f>AP25*'Drivers &amp; Assumptions'!C6</f>
        <v>1111068</v>
      </c>
      <c r="AQ27" s="30">
        <f>AQ25*'Drivers &amp; Assumptions'!C6</f>
        <v>1169280</v>
      </c>
      <c r="AR27" s="30">
        <f>AR25*'Drivers &amp; Assumptions'!C6</f>
        <v>1230390</v>
      </c>
      <c r="AS27" s="30">
        <f>AS25*'Drivers &amp; Assumptions'!C6</f>
        <v>1294398</v>
      </c>
      <c r="AT27" s="30">
        <f>AT25*'Drivers &amp; Assumptions'!C6</f>
        <v>1361430</v>
      </c>
      <c r="AU27" s="30">
        <f>AU25*'Drivers &amp; Assumptions'!C6</f>
        <v>1431864</v>
      </c>
      <c r="AV27" s="30">
        <f>AV25*'Drivers &amp; Assumptions'!C6</f>
        <v>1505826</v>
      </c>
      <c r="AW27" s="30">
        <f>AW25*'Drivers &amp; Assumptions'!C6</f>
        <v>1583190</v>
      </c>
      <c r="AX27" s="30">
        <f>AX25*'Drivers &amp; Assumptions'!C6</f>
        <v>1664460</v>
      </c>
      <c r="AY27" s="30">
        <f>AY25*'Drivers &amp; Assumptions'!C6</f>
        <v>1750014</v>
      </c>
      <c r="AZ27" s="30">
        <f>AZ25*'Drivers &amp; Assumptions'!C6</f>
        <v>1839474</v>
      </c>
      <c r="BA27" s="30">
        <f>BA25*'Drivers &amp; Assumptions'!C6</f>
        <v>1933596</v>
      </c>
      <c r="BB27" s="30">
        <f>BB25*'Drivers &amp; Assumptions'!C6</f>
        <v>2032254</v>
      </c>
      <c r="BC27" s="30">
        <f>BC25*'Drivers &amp; Assumptions'!C6</f>
        <v>2136078</v>
      </c>
      <c r="BD27" s="30">
        <f>BD25*'Drivers &amp; Assumptions'!C6</f>
        <v>2244816</v>
      </c>
      <c r="BE27" s="30">
        <f>BE25*'Drivers &amp; Assumptions'!C6</f>
        <v>2358972</v>
      </c>
      <c r="BF27" s="30">
        <f>BF25*'Drivers &amp; Assumptions'!C6</f>
        <v>2478798</v>
      </c>
      <c r="BG27" s="30">
        <f>BG25*'Drivers &amp; Assumptions'!C6</f>
        <v>2604672</v>
      </c>
      <c r="BH27" s="30">
        <f>BH25*'Drivers &amp; Assumptions'!C6</f>
        <v>2736846</v>
      </c>
      <c r="BI27" s="30">
        <f>BI25*'Drivers &amp; Assumptions'!C6</f>
        <v>2875572</v>
      </c>
    </row>
    <row r="29" spans="1:61" ht="15" customHeight="1" x14ac:dyDescent="0.35">
      <c r="A29" s="5" t="s">
        <v>224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</row>
    <row r="30" spans="1:61" ht="15" customHeight="1" x14ac:dyDescent="0.35">
      <c r="A30" s="10" t="s">
        <v>225</v>
      </c>
      <c r="B30" s="31">
        <f t="shared" ref="B30:J31" si="12">B7</f>
        <v>37954</v>
      </c>
      <c r="C30" s="31">
        <f t="shared" si="12"/>
        <v>61361</v>
      </c>
      <c r="D30" s="31">
        <f t="shared" si="12"/>
        <v>108804</v>
      </c>
      <c r="E30" s="31">
        <f t="shared" si="12"/>
        <v>57522</v>
      </c>
      <c r="F30" s="31">
        <f t="shared" si="12"/>
        <v>71229</v>
      </c>
      <c r="G30" s="31">
        <f t="shared" si="12"/>
        <v>61780</v>
      </c>
      <c r="H30" s="31">
        <f t="shared" si="12"/>
        <v>62159</v>
      </c>
      <c r="I30" s="31">
        <f t="shared" si="12"/>
        <v>181457</v>
      </c>
      <c r="J30" s="31">
        <f t="shared" si="12"/>
        <v>50000</v>
      </c>
      <c r="K30" s="14">
        <f t="shared" ref="K30:AO30" si="13">K27</f>
        <v>43722</v>
      </c>
      <c r="L30" s="14">
        <f t="shared" si="13"/>
        <v>90972</v>
      </c>
      <c r="M30" s="14">
        <f t="shared" si="13"/>
        <v>118314</v>
      </c>
      <c r="N30" s="14">
        <f t="shared" si="13"/>
        <v>144900</v>
      </c>
      <c r="O30" s="14">
        <f t="shared" si="13"/>
        <v>171108</v>
      </c>
      <c r="P30" s="14">
        <f t="shared" si="13"/>
        <v>196686</v>
      </c>
      <c r="Q30" s="14">
        <f t="shared" si="13"/>
        <v>222138</v>
      </c>
      <c r="R30" s="14">
        <f t="shared" si="13"/>
        <v>247464</v>
      </c>
      <c r="S30" s="14">
        <f t="shared" si="13"/>
        <v>272790</v>
      </c>
      <c r="T30" s="14">
        <f t="shared" si="13"/>
        <v>298494</v>
      </c>
      <c r="U30" s="14">
        <f t="shared" si="13"/>
        <v>324072</v>
      </c>
      <c r="V30" s="14">
        <f t="shared" si="13"/>
        <v>350280</v>
      </c>
      <c r="W30" s="14">
        <f t="shared" si="13"/>
        <v>376866</v>
      </c>
      <c r="X30" s="14">
        <f t="shared" si="13"/>
        <v>404082</v>
      </c>
      <c r="Y30" s="14">
        <f t="shared" si="13"/>
        <v>432054</v>
      </c>
      <c r="Z30" s="14">
        <f t="shared" si="13"/>
        <v>460656</v>
      </c>
      <c r="AA30" s="14">
        <f t="shared" si="13"/>
        <v>490140</v>
      </c>
      <c r="AB30" s="14">
        <f t="shared" si="13"/>
        <v>520758</v>
      </c>
      <c r="AC30" s="14">
        <f t="shared" si="13"/>
        <v>552384</v>
      </c>
      <c r="AD30" s="14">
        <f t="shared" si="13"/>
        <v>585270</v>
      </c>
      <c r="AE30" s="14">
        <f t="shared" si="13"/>
        <v>619542</v>
      </c>
      <c r="AF30" s="14">
        <f t="shared" si="13"/>
        <v>655074</v>
      </c>
      <c r="AG30" s="14">
        <f t="shared" si="13"/>
        <v>692244</v>
      </c>
      <c r="AH30" s="14">
        <f t="shared" si="13"/>
        <v>730926</v>
      </c>
      <c r="AI30" s="14">
        <f t="shared" si="13"/>
        <v>771372</v>
      </c>
      <c r="AJ30" s="14">
        <f t="shared" si="13"/>
        <v>813456</v>
      </c>
      <c r="AK30" s="14">
        <f t="shared" si="13"/>
        <v>857556</v>
      </c>
      <c r="AL30" s="14">
        <f t="shared" si="13"/>
        <v>903672</v>
      </c>
      <c r="AM30" s="14">
        <f t="shared" si="13"/>
        <v>952056</v>
      </c>
      <c r="AN30" s="14">
        <f t="shared" si="13"/>
        <v>1002708</v>
      </c>
      <c r="AO30" s="14">
        <f t="shared" si="13"/>
        <v>1055628</v>
      </c>
      <c r="AP30" s="14">
        <f t="shared" ref="AP30:BI30" si="14">AP27</f>
        <v>1111068</v>
      </c>
      <c r="AQ30" s="14">
        <f t="shared" si="14"/>
        <v>1169280</v>
      </c>
      <c r="AR30" s="14">
        <f t="shared" si="14"/>
        <v>1230390</v>
      </c>
      <c r="AS30" s="14">
        <f t="shared" si="14"/>
        <v>1294398</v>
      </c>
      <c r="AT30" s="14">
        <f t="shared" si="14"/>
        <v>1361430</v>
      </c>
      <c r="AU30" s="14">
        <f t="shared" si="14"/>
        <v>1431864</v>
      </c>
      <c r="AV30" s="14">
        <f t="shared" si="14"/>
        <v>1505826</v>
      </c>
      <c r="AW30" s="14">
        <f t="shared" si="14"/>
        <v>1583190</v>
      </c>
      <c r="AX30" s="14">
        <f t="shared" si="14"/>
        <v>1664460</v>
      </c>
      <c r="AY30" s="14">
        <f t="shared" si="14"/>
        <v>1750014</v>
      </c>
      <c r="AZ30" s="14">
        <f t="shared" si="14"/>
        <v>1839474</v>
      </c>
      <c r="BA30" s="14">
        <f t="shared" si="14"/>
        <v>1933596</v>
      </c>
      <c r="BB30" s="14">
        <f t="shared" si="14"/>
        <v>2032254</v>
      </c>
      <c r="BC30" s="14">
        <f t="shared" si="14"/>
        <v>2136078</v>
      </c>
      <c r="BD30" s="14">
        <f t="shared" si="14"/>
        <v>2244816</v>
      </c>
      <c r="BE30" s="14">
        <f t="shared" si="14"/>
        <v>2358972</v>
      </c>
      <c r="BF30" s="14">
        <f t="shared" si="14"/>
        <v>2478798</v>
      </c>
      <c r="BG30" s="14">
        <f t="shared" si="14"/>
        <v>2604672</v>
      </c>
      <c r="BH30" s="14">
        <f t="shared" si="14"/>
        <v>2736846</v>
      </c>
      <c r="BI30" s="14">
        <f t="shared" si="14"/>
        <v>2875572</v>
      </c>
    </row>
    <row r="31" spans="1:61" ht="15" customHeight="1" x14ac:dyDescent="0.35">
      <c r="A31" s="7" t="s">
        <v>226</v>
      </c>
      <c r="B31" s="32">
        <f t="shared" si="12"/>
        <v>301</v>
      </c>
      <c r="C31" s="32">
        <f t="shared" si="12"/>
        <v>487</v>
      </c>
      <c r="D31" s="32">
        <f t="shared" si="12"/>
        <v>864</v>
      </c>
      <c r="E31" s="32">
        <f t="shared" si="12"/>
        <v>457</v>
      </c>
      <c r="F31" s="32">
        <f t="shared" si="12"/>
        <v>565</v>
      </c>
      <c r="G31" s="32">
        <f t="shared" si="12"/>
        <v>490</v>
      </c>
      <c r="H31" s="32">
        <f t="shared" si="12"/>
        <v>493</v>
      </c>
      <c r="I31" s="32">
        <f t="shared" si="12"/>
        <v>1440</v>
      </c>
      <c r="J31" s="28">
        <f t="shared" ref="J31:AO31" si="15">J25</f>
        <v>67</v>
      </c>
      <c r="K31" s="28">
        <f t="shared" si="15"/>
        <v>347</v>
      </c>
      <c r="L31" s="28">
        <f t="shared" si="15"/>
        <v>722</v>
      </c>
      <c r="M31" s="28">
        <f t="shared" si="15"/>
        <v>939</v>
      </c>
      <c r="N31" s="28">
        <f t="shared" si="15"/>
        <v>1150</v>
      </c>
      <c r="O31" s="28">
        <f t="shared" si="15"/>
        <v>1358</v>
      </c>
      <c r="P31" s="28">
        <f t="shared" si="15"/>
        <v>1561</v>
      </c>
      <c r="Q31" s="28">
        <f t="shared" si="15"/>
        <v>1763</v>
      </c>
      <c r="R31" s="28">
        <f t="shared" si="15"/>
        <v>1964</v>
      </c>
      <c r="S31" s="28">
        <f t="shared" si="15"/>
        <v>2165</v>
      </c>
      <c r="T31" s="28">
        <f t="shared" si="15"/>
        <v>2369</v>
      </c>
      <c r="U31" s="28">
        <f t="shared" si="15"/>
        <v>2572</v>
      </c>
      <c r="V31" s="28">
        <f t="shared" si="15"/>
        <v>2780</v>
      </c>
      <c r="W31" s="28">
        <f t="shared" si="15"/>
        <v>2991</v>
      </c>
      <c r="X31" s="28">
        <f t="shared" si="15"/>
        <v>3207</v>
      </c>
      <c r="Y31" s="28">
        <f t="shared" si="15"/>
        <v>3429</v>
      </c>
      <c r="Z31" s="28">
        <f t="shared" si="15"/>
        <v>3656</v>
      </c>
      <c r="AA31" s="28">
        <f t="shared" si="15"/>
        <v>3890</v>
      </c>
      <c r="AB31" s="28">
        <f t="shared" si="15"/>
        <v>4133</v>
      </c>
      <c r="AC31" s="28">
        <f t="shared" si="15"/>
        <v>4384</v>
      </c>
      <c r="AD31" s="28">
        <f t="shared" si="15"/>
        <v>4645</v>
      </c>
      <c r="AE31" s="28">
        <f t="shared" si="15"/>
        <v>4917</v>
      </c>
      <c r="AF31" s="28">
        <f t="shared" si="15"/>
        <v>5199</v>
      </c>
      <c r="AG31" s="28">
        <f t="shared" si="15"/>
        <v>5494</v>
      </c>
      <c r="AH31" s="28">
        <f t="shared" si="15"/>
        <v>5801</v>
      </c>
      <c r="AI31" s="28">
        <f t="shared" si="15"/>
        <v>6122</v>
      </c>
      <c r="AJ31" s="28">
        <f t="shared" si="15"/>
        <v>6456</v>
      </c>
      <c r="AK31" s="28">
        <f t="shared" si="15"/>
        <v>6806</v>
      </c>
      <c r="AL31" s="28">
        <f t="shared" si="15"/>
        <v>7172</v>
      </c>
      <c r="AM31" s="28">
        <f t="shared" si="15"/>
        <v>7556</v>
      </c>
      <c r="AN31" s="28">
        <f t="shared" si="15"/>
        <v>7958</v>
      </c>
      <c r="AO31" s="28">
        <f t="shared" si="15"/>
        <v>8378</v>
      </c>
      <c r="AP31" s="28">
        <f t="shared" ref="AP31:BI31" si="16">AP25</f>
        <v>8818</v>
      </c>
      <c r="AQ31" s="28">
        <f t="shared" si="16"/>
        <v>9280</v>
      </c>
      <c r="AR31" s="28">
        <f t="shared" si="16"/>
        <v>9765</v>
      </c>
      <c r="AS31" s="28">
        <f t="shared" si="16"/>
        <v>10273</v>
      </c>
      <c r="AT31" s="28">
        <f t="shared" si="16"/>
        <v>10805</v>
      </c>
      <c r="AU31" s="28">
        <f t="shared" si="16"/>
        <v>11364</v>
      </c>
      <c r="AV31" s="28">
        <f t="shared" si="16"/>
        <v>11951</v>
      </c>
      <c r="AW31" s="28">
        <f t="shared" si="16"/>
        <v>12565</v>
      </c>
      <c r="AX31" s="28">
        <f t="shared" si="16"/>
        <v>13210</v>
      </c>
      <c r="AY31" s="28">
        <f t="shared" si="16"/>
        <v>13889</v>
      </c>
      <c r="AZ31" s="28">
        <f t="shared" si="16"/>
        <v>14599</v>
      </c>
      <c r="BA31" s="28">
        <f t="shared" si="16"/>
        <v>15346</v>
      </c>
      <c r="BB31" s="28">
        <f t="shared" si="16"/>
        <v>16129</v>
      </c>
      <c r="BC31" s="28">
        <f t="shared" si="16"/>
        <v>16953</v>
      </c>
      <c r="BD31" s="28">
        <f t="shared" si="16"/>
        <v>17816</v>
      </c>
      <c r="BE31" s="28">
        <f t="shared" si="16"/>
        <v>18722</v>
      </c>
      <c r="BF31" s="28">
        <f t="shared" si="16"/>
        <v>19673</v>
      </c>
      <c r="BG31" s="28">
        <f t="shared" si="16"/>
        <v>20672</v>
      </c>
      <c r="BH31" s="28">
        <f t="shared" si="16"/>
        <v>21721</v>
      </c>
      <c r="BI31" s="28">
        <f t="shared" si="16"/>
        <v>22822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BF8F00"/>
  </sheetPr>
  <dimension ref="A1:BI36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H45" sqref="H45"/>
    </sheetView>
  </sheetViews>
  <sheetFormatPr defaultColWidth="8.6328125" defaultRowHeight="14.5" x14ac:dyDescent="0.35"/>
  <cols>
    <col min="1" max="1" width="42" customWidth="1"/>
    <col min="2" max="61" width="14" customWidth="1"/>
  </cols>
  <sheetData>
    <row r="1" spans="1:61" ht="17.25" customHeight="1" x14ac:dyDescent="0.4">
      <c r="A1" s="1" t="s">
        <v>227</v>
      </c>
    </row>
    <row r="2" spans="1:61" ht="15" customHeight="1" x14ac:dyDescent="0.35">
      <c r="A2" s="2" t="s">
        <v>228</v>
      </c>
    </row>
    <row r="4" spans="1:61" ht="15" customHeight="1" x14ac:dyDescent="0.35">
      <c r="A4" s="19"/>
      <c r="B4" s="25" t="s">
        <v>147</v>
      </c>
      <c r="C4" s="25" t="s">
        <v>148</v>
      </c>
      <c r="D4" s="25" t="s">
        <v>149</v>
      </c>
      <c r="E4" s="25" t="s">
        <v>150</v>
      </c>
      <c r="F4" s="25" t="s">
        <v>151</v>
      </c>
      <c r="G4" s="25" t="s">
        <v>152</v>
      </c>
      <c r="H4" s="25" t="s">
        <v>153</v>
      </c>
      <c r="I4" s="25" t="s">
        <v>154</v>
      </c>
      <c r="J4" s="19" t="s">
        <v>155</v>
      </c>
      <c r="K4" s="19" t="s">
        <v>156</v>
      </c>
      <c r="L4" s="19" t="s">
        <v>157</v>
      </c>
      <c r="M4" s="19" t="s">
        <v>158</v>
      </c>
      <c r="N4" s="19" t="s">
        <v>159</v>
      </c>
      <c r="O4" s="19" t="s">
        <v>160</v>
      </c>
      <c r="P4" s="19" t="s">
        <v>161</v>
      </c>
      <c r="Q4" s="19" t="s">
        <v>162</v>
      </c>
      <c r="R4" s="19" t="s">
        <v>163</v>
      </c>
      <c r="S4" s="19" t="s">
        <v>164</v>
      </c>
      <c r="T4" s="19" t="s">
        <v>165</v>
      </c>
      <c r="U4" s="19" t="s">
        <v>166</v>
      </c>
      <c r="V4" s="19" t="s">
        <v>167</v>
      </c>
      <c r="W4" s="19" t="s">
        <v>168</v>
      </c>
      <c r="X4" s="19" t="s">
        <v>169</v>
      </c>
      <c r="Y4" s="19" t="s">
        <v>170</v>
      </c>
      <c r="Z4" s="19" t="s">
        <v>171</v>
      </c>
      <c r="AA4" s="19" t="s">
        <v>172</v>
      </c>
      <c r="AB4" s="19" t="s">
        <v>173</v>
      </c>
      <c r="AC4" s="19" t="s">
        <v>174</v>
      </c>
      <c r="AD4" s="19" t="s">
        <v>175</v>
      </c>
      <c r="AE4" s="19" t="s">
        <v>176</v>
      </c>
      <c r="AF4" s="19" t="s">
        <v>177</v>
      </c>
      <c r="AG4" s="19" t="s">
        <v>178</v>
      </c>
      <c r="AH4" s="19" t="s">
        <v>179</v>
      </c>
      <c r="AI4" s="19" t="s">
        <v>180</v>
      </c>
      <c r="AJ4" s="19" t="s">
        <v>181</v>
      </c>
      <c r="AK4" s="19" t="s">
        <v>182</v>
      </c>
      <c r="AL4" s="19" t="s">
        <v>183</v>
      </c>
      <c r="AM4" s="19" t="s">
        <v>184</v>
      </c>
      <c r="AN4" s="19" t="s">
        <v>185</v>
      </c>
      <c r="AO4" s="19" t="s">
        <v>186</v>
      </c>
      <c r="AP4" s="19" t="s">
        <v>187</v>
      </c>
      <c r="AQ4" s="19" t="s">
        <v>188</v>
      </c>
      <c r="AR4" s="19" t="s">
        <v>189</v>
      </c>
      <c r="AS4" s="19" t="s">
        <v>190</v>
      </c>
      <c r="AT4" s="19" t="s">
        <v>191</v>
      </c>
      <c r="AU4" s="19" t="s">
        <v>192</v>
      </c>
      <c r="AV4" s="19" t="s">
        <v>193</v>
      </c>
      <c r="AW4" s="19" t="s">
        <v>194</v>
      </c>
      <c r="AX4" s="19" t="s">
        <v>195</v>
      </c>
      <c r="AY4" s="19" t="s">
        <v>196</v>
      </c>
      <c r="AZ4" s="19" t="s">
        <v>197</v>
      </c>
      <c r="BA4" s="19" t="s">
        <v>198</v>
      </c>
      <c r="BB4" s="19" t="s">
        <v>199</v>
      </c>
      <c r="BC4" s="19" t="s">
        <v>200</v>
      </c>
      <c r="BD4" s="19" t="s">
        <v>201</v>
      </c>
      <c r="BE4" s="19" t="s">
        <v>202</v>
      </c>
      <c r="BF4" s="19" t="s">
        <v>203</v>
      </c>
      <c r="BG4" s="19" t="s">
        <v>204</v>
      </c>
      <c r="BH4" s="19" t="s">
        <v>205</v>
      </c>
      <c r="BI4" s="19" t="s">
        <v>206</v>
      </c>
    </row>
    <row r="6" spans="1:61" ht="15" customHeight="1" x14ac:dyDescent="0.35">
      <c r="A6" s="5" t="s">
        <v>229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</row>
    <row r="7" spans="1:61" ht="15" customHeight="1" x14ac:dyDescent="0.35">
      <c r="A7" s="7" t="s">
        <v>230</v>
      </c>
      <c r="B7" s="33">
        <v>0</v>
      </c>
      <c r="C7" s="33">
        <v>0</v>
      </c>
      <c r="D7" s="33">
        <v>0</v>
      </c>
      <c r="E7" s="33">
        <v>0</v>
      </c>
      <c r="F7" s="33">
        <v>0</v>
      </c>
      <c r="G7" s="33">
        <v>0</v>
      </c>
      <c r="H7" s="33">
        <v>0</v>
      </c>
      <c r="I7" s="33">
        <v>0</v>
      </c>
      <c r="J7" s="24">
        <f>IF(MOD(9,'Drivers &amp; Assumptions'!C26)=0,ROUND('Drivers &amp; Assumptions'!C27*(1+'Drivers &amp; Assumptions'!C28)^0,0),0)</f>
        <v>5</v>
      </c>
      <c r="K7" s="24">
        <f>IF(MOD(10,'Drivers &amp; Assumptions'!C26)=0,ROUND('Drivers &amp; Assumptions'!C27*(1+'Drivers &amp; Assumptions'!C28)^0,0),0)</f>
        <v>0</v>
      </c>
      <c r="L7" s="24">
        <f>IF(MOD(11,'Drivers &amp; Assumptions'!C26)=0,ROUND('Drivers &amp; Assumptions'!C27*(1+'Drivers &amp; Assumptions'!C28)^0,0),0)</f>
        <v>0</v>
      </c>
      <c r="M7" s="24">
        <f>IF(MOD(12,'Drivers &amp; Assumptions'!C26)=0,ROUND('Drivers &amp; Assumptions'!C27*(1+'Drivers &amp; Assumptions'!C28)^0,0),0)</f>
        <v>5</v>
      </c>
      <c r="N7" s="24">
        <f>IF(MOD(13,'Drivers &amp; Assumptions'!C26)=0,ROUND('Drivers &amp; Assumptions'!C27*(1+'Drivers &amp; Assumptions'!C28)^1,0),0)</f>
        <v>0</v>
      </c>
      <c r="O7" s="24">
        <f>IF(MOD(14,'Drivers &amp; Assumptions'!C26)=0,ROUND('Drivers &amp; Assumptions'!C27*(1+'Drivers &amp; Assumptions'!C28)^1,0),0)</f>
        <v>0</v>
      </c>
      <c r="P7" s="24">
        <f>IF(MOD(15,'Drivers &amp; Assumptions'!C26)=0,ROUND('Drivers &amp; Assumptions'!C27*(1+'Drivers &amp; Assumptions'!C28)^1,0),0)</f>
        <v>6</v>
      </c>
      <c r="Q7" s="24">
        <f>IF(MOD(16,'Drivers &amp; Assumptions'!C26)=0,ROUND('Drivers &amp; Assumptions'!C27*(1+'Drivers &amp; Assumptions'!C28)^1,0),0)</f>
        <v>0</v>
      </c>
      <c r="R7" s="24">
        <f>IF(MOD(17,'Drivers &amp; Assumptions'!C26)=0,ROUND('Drivers &amp; Assumptions'!C27*(1+'Drivers &amp; Assumptions'!C28)^1,0),0)</f>
        <v>0</v>
      </c>
      <c r="S7" s="24">
        <f>IF(MOD(18,'Drivers &amp; Assumptions'!C26)=0,ROUND('Drivers &amp; Assumptions'!C27*(1+'Drivers &amp; Assumptions'!C28)^1,0),0)</f>
        <v>6</v>
      </c>
      <c r="T7" s="24">
        <f>IF(MOD(19,'Drivers &amp; Assumptions'!C26)=0,ROUND('Drivers &amp; Assumptions'!C27*(1+'Drivers &amp; Assumptions'!C28)^1,0),0)</f>
        <v>0</v>
      </c>
      <c r="U7" s="24">
        <f>IF(MOD(20,'Drivers &amp; Assumptions'!C26)=0,ROUND('Drivers &amp; Assumptions'!C27*(1+'Drivers &amp; Assumptions'!C28)^1,0),0)</f>
        <v>0</v>
      </c>
      <c r="V7" s="24">
        <f>IF(MOD(21,'Drivers &amp; Assumptions'!C26)=0,ROUND('Drivers &amp; Assumptions'!C27*(1+'Drivers &amp; Assumptions'!C28)^1,0),0)</f>
        <v>6</v>
      </c>
      <c r="W7" s="24">
        <f>IF(MOD(22,'Drivers &amp; Assumptions'!C26)=0,ROUND('Drivers &amp; Assumptions'!C27*(1+'Drivers &amp; Assumptions'!C28)^1,0),0)</f>
        <v>0</v>
      </c>
      <c r="X7" s="24">
        <f>IF(MOD(23,'Drivers &amp; Assumptions'!C26)=0,ROUND('Drivers &amp; Assumptions'!C27*(1+'Drivers &amp; Assumptions'!C28)^1,0),0)</f>
        <v>0</v>
      </c>
      <c r="Y7" s="24">
        <f>IF(MOD(24,'Drivers &amp; Assumptions'!C26)=0,ROUND('Drivers &amp; Assumptions'!C27*(1+'Drivers &amp; Assumptions'!C28)^1,0),0)</f>
        <v>6</v>
      </c>
      <c r="Z7" s="24">
        <f>IF(MOD(25,'Drivers &amp; Assumptions'!C26)=0,ROUND('Drivers &amp; Assumptions'!C27*(1+'Drivers &amp; Assumptions'!C28)^2,0),0)</f>
        <v>0</v>
      </c>
      <c r="AA7" s="24">
        <f>IF(MOD(26,'Drivers &amp; Assumptions'!C26)=0,ROUND('Drivers &amp; Assumptions'!C27*(1+'Drivers &amp; Assumptions'!C28)^2,0),0)</f>
        <v>0</v>
      </c>
      <c r="AB7" s="24">
        <f>IF(MOD(27,'Drivers &amp; Assumptions'!C26)=0,ROUND('Drivers &amp; Assumptions'!C27*(1+'Drivers &amp; Assumptions'!C28)^2,0),0)</f>
        <v>8</v>
      </c>
      <c r="AC7" s="24">
        <f>IF(MOD(28,'Drivers &amp; Assumptions'!C26)=0,ROUND('Drivers &amp; Assumptions'!C27*(1+'Drivers &amp; Assumptions'!C28)^2,0),0)</f>
        <v>0</v>
      </c>
      <c r="AD7" s="24">
        <f>IF(MOD(29,'Drivers &amp; Assumptions'!C26)=0,ROUND('Drivers &amp; Assumptions'!C27*(1+'Drivers &amp; Assumptions'!C28)^2,0),0)</f>
        <v>0</v>
      </c>
      <c r="AE7" s="24">
        <f>IF(MOD(30,'Drivers &amp; Assumptions'!C26)=0,ROUND('Drivers &amp; Assumptions'!C27*(1+'Drivers &amp; Assumptions'!C28)^2,0),0)</f>
        <v>8</v>
      </c>
      <c r="AF7" s="24">
        <f>IF(MOD(31,'Drivers &amp; Assumptions'!C26)=0,ROUND('Drivers &amp; Assumptions'!C27*(1+'Drivers &amp; Assumptions'!C28)^2,0),0)</f>
        <v>0</v>
      </c>
      <c r="AG7" s="24">
        <f>IF(MOD(32,'Drivers &amp; Assumptions'!C26)=0,ROUND('Drivers &amp; Assumptions'!C27*(1+'Drivers &amp; Assumptions'!C28)^2,0),0)</f>
        <v>0</v>
      </c>
      <c r="AH7" s="24">
        <f>IF(MOD(33,'Drivers &amp; Assumptions'!C26)=0,ROUND('Drivers &amp; Assumptions'!C27*(1+'Drivers &amp; Assumptions'!C28)^2,0),0)</f>
        <v>8</v>
      </c>
      <c r="AI7" s="24">
        <f>IF(MOD(34,'Drivers &amp; Assumptions'!C26)=0,ROUND('Drivers &amp; Assumptions'!C27*(1+'Drivers &amp; Assumptions'!C28)^2,0),0)</f>
        <v>0</v>
      </c>
      <c r="AJ7" s="24">
        <f>IF(MOD(35,'Drivers &amp; Assumptions'!C26)=0,ROUND('Drivers &amp; Assumptions'!C27*(1+'Drivers &amp; Assumptions'!C28)^2,0),0)</f>
        <v>0</v>
      </c>
      <c r="AK7" s="24">
        <f>IF(MOD(36,'Drivers &amp; Assumptions'!C26)=0,ROUND('Drivers &amp; Assumptions'!C27*(1+'Drivers &amp; Assumptions'!C28)^2,0),0)</f>
        <v>8</v>
      </c>
      <c r="AL7" s="24">
        <f>IF(MOD(37,'Drivers &amp; Assumptions'!C26)=0,ROUND('Drivers &amp; Assumptions'!C27*(1+'Drivers &amp; Assumptions'!C28)^3,0),0)</f>
        <v>0</v>
      </c>
      <c r="AM7" s="24">
        <f>IF(MOD(38,'Drivers &amp; Assumptions'!C26)=0,ROUND('Drivers &amp; Assumptions'!C27*(1+'Drivers &amp; Assumptions'!C28)^3,0),0)</f>
        <v>0</v>
      </c>
      <c r="AN7" s="24">
        <f>IF(MOD(39,'Drivers &amp; Assumptions'!C26)=0,ROUND('Drivers &amp; Assumptions'!C27*(1+'Drivers &amp; Assumptions'!C28)^3,0),0)</f>
        <v>10</v>
      </c>
      <c r="AO7" s="24">
        <f>IF(MOD(40,'Drivers &amp; Assumptions'!C26)=0,ROUND('Drivers &amp; Assumptions'!C27*(1+'Drivers &amp; Assumptions'!C28)^3,0),0)</f>
        <v>0</v>
      </c>
      <c r="AP7" s="24">
        <f>IF(MOD(41,'Drivers &amp; Assumptions'!C26)=0,ROUND('Drivers &amp; Assumptions'!C27*(1+'Drivers &amp; Assumptions'!C28)^3,0),0)</f>
        <v>0</v>
      </c>
      <c r="AQ7" s="24">
        <f>IF(MOD(42,'Drivers &amp; Assumptions'!C26)=0,ROUND('Drivers &amp; Assumptions'!C27*(1+'Drivers &amp; Assumptions'!C28)^3,0),0)</f>
        <v>10</v>
      </c>
      <c r="AR7" s="24">
        <f>IF(MOD(43,'Drivers &amp; Assumptions'!C26)=0,ROUND('Drivers &amp; Assumptions'!C27*(1+'Drivers &amp; Assumptions'!C28)^3,0),0)</f>
        <v>0</v>
      </c>
      <c r="AS7" s="24">
        <f>IF(MOD(44,'Drivers &amp; Assumptions'!C26)=0,ROUND('Drivers &amp; Assumptions'!C27*(1+'Drivers &amp; Assumptions'!C28)^3,0),0)</f>
        <v>0</v>
      </c>
      <c r="AT7" s="24">
        <f>IF(MOD(45,'Drivers &amp; Assumptions'!C26)=0,ROUND('Drivers &amp; Assumptions'!C27*(1+'Drivers &amp; Assumptions'!C28)^3,0),0)</f>
        <v>10</v>
      </c>
      <c r="AU7" s="24">
        <f>IF(MOD(46,'Drivers &amp; Assumptions'!C26)=0,ROUND('Drivers &amp; Assumptions'!C27*(1+'Drivers &amp; Assumptions'!C28)^3,0),0)</f>
        <v>0</v>
      </c>
      <c r="AV7" s="24">
        <f>IF(MOD(47,'Drivers &amp; Assumptions'!C26)=0,ROUND('Drivers &amp; Assumptions'!C27*(1+'Drivers &amp; Assumptions'!C28)^3,0),0)</f>
        <v>0</v>
      </c>
      <c r="AW7" s="24">
        <f>IF(MOD(48,'Drivers &amp; Assumptions'!C26)=0,ROUND('Drivers &amp; Assumptions'!C27*(1+'Drivers &amp; Assumptions'!C28)^3,0),0)</f>
        <v>10</v>
      </c>
      <c r="AX7" s="24">
        <f>IF(MOD(49,'Drivers &amp; Assumptions'!C26)=0,ROUND('Drivers &amp; Assumptions'!C27*(1+'Drivers &amp; Assumptions'!C28)^4,0),0)</f>
        <v>0</v>
      </c>
      <c r="AY7" s="24">
        <f>IF(MOD(50,'Drivers &amp; Assumptions'!C26)=0,ROUND('Drivers &amp; Assumptions'!C27*(1+'Drivers &amp; Assumptions'!C28)^4,0),0)</f>
        <v>0</v>
      </c>
      <c r="AZ7" s="24">
        <f>IF(MOD(51,'Drivers &amp; Assumptions'!C26)=0,ROUND('Drivers &amp; Assumptions'!C27*(1+'Drivers &amp; Assumptions'!C28)^4,0),0)</f>
        <v>12</v>
      </c>
      <c r="BA7" s="24">
        <f>IF(MOD(52,'Drivers &amp; Assumptions'!C26)=0,ROUND('Drivers &amp; Assumptions'!C27*(1+'Drivers &amp; Assumptions'!C28)^4,0),0)</f>
        <v>0</v>
      </c>
      <c r="BB7" s="24">
        <f>IF(MOD(53,'Drivers &amp; Assumptions'!C26)=0,ROUND('Drivers &amp; Assumptions'!C27*(1+'Drivers &amp; Assumptions'!C28)^4,0),0)</f>
        <v>0</v>
      </c>
      <c r="BC7" s="24">
        <f>IF(MOD(54,'Drivers &amp; Assumptions'!C26)=0,ROUND('Drivers &amp; Assumptions'!C27*(1+'Drivers &amp; Assumptions'!C28)^4,0),0)</f>
        <v>12</v>
      </c>
      <c r="BD7" s="24">
        <f>IF(MOD(55,'Drivers &amp; Assumptions'!C26)=0,ROUND('Drivers &amp; Assumptions'!C27*(1+'Drivers &amp; Assumptions'!C28)^4,0),0)</f>
        <v>0</v>
      </c>
      <c r="BE7" s="24">
        <f>IF(MOD(56,'Drivers &amp; Assumptions'!C26)=0,ROUND('Drivers &amp; Assumptions'!C27*(1+'Drivers &amp; Assumptions'!C28)^4,0),0)</f>
        <v>0</v>
      </c>
      <c r="BF7" s="24">
        <f>IF(MOD(57,'Drivers &amp; Assumptions'!C26)=0,ROUND('Drivers &amp; Assumptions'!C27*(1+'Drivers &amp; Assumptions'!C28)^4,0),0)</f>
        <v>12</v>
      </c>
      <c r="BG7" s="24">
        <f>IF(MOD(58,'Drivers &amp; Assumptions'!C26)=0,ROUND('Drivers &amp; Assumptions'!C27*(1+'Drivers &amp; Assumptions'!C28)^4,0),0)</f>
        <v>0</v>
      </c>
      <c r="BH7" s="24">
        <f>IF(MOD(59,'Drivers &amp; Assumptions'!C26)=0,ROUND('Drivers &amp; Assumptions'!C27*(1+'Drivers &amp; Assumptions'!C28)^4,0),0)</f>
        <v>0</v>
      </c>
      <c r="BI7" s="24">
        <f>IF(MOD(60,'Drivers &amp; Assumptions'!C26)=0,ROUND('Drivers &amp; Assumptions'!C27*(1+'Drivers &amp; Assumptions'!C28)^4,0),0)</f>
        <v>12</v>
      </c>
    </row>
    <row r="8" spans="1:61" ht="15" customHeight="1" x14ac:dyDescent="0.35">
      <c r="A8" s="7" t="s">
        <v>231</v>
      </c>
      <c r="B8" s="33">
        <v>0</v>
      </c>
      <c r="C8" s="33">
        <v>0</v>
      </c>
      <c r="D8" s="33">
        <v>0</v>
      </c>
      <c r="E8" s="33">
        <v>0</v>
      </c>
      <c r="F8" s="33">
        <v>0</v>
      </c>
      <c r="G8" s="33">
        <v>0</v>
      </c>
      <c r="H8" s="33">
        <v>0</v>
      </c>
      <c r="I8" s="33">
        <v>0</v>
      </c>
      <c r="J8" s="24">
        <f>IF(MOD(9,'Drivers &amp; Assumptions'!C26)=0,ROUND('Drivers &amp; Assumptions'!C27*(1+'Drivers &amp; Assumptions'!C28)^0,0),0)</f>
        <v>5</v>
      </c>
      <c r="K8" s="24">
        <f>IF(MOD(10,'Drivers &amp; Assumptions'!C26)=0,ROUND('Drivers &amp; Assumptions'!C27*(1+'Drivers &amp; Assumptions'!C28)^0,0),0)</f>
        <v>0</v>
      </c>
      <c r="L8" s="24">
        <f>IF(MOD(11,'Drivers &amp; Assumptions'!C26)=0,ROUND('Drivers &amp; Assumptions'!C27*(1+'Drivers &amp; Assumptions'!C28)^0,0),0)</f>
        <v>0</v>
      </c>
      <c r="M8" s="24">
        <f>IF(MOD(12,'Drivers &amp; Assumptions'!C26)=0,ROUND('Drivers &amp; Assumptions'!C27*(1+'Drivers &amp; Assumptions'!C28)^0,0),0)</f>
        <v>5</v>
      </c>
      <c r="N8" s="24">
        <f>IF(MOD(13,'Drivers &amp; Assumptions'!C26)=0,ROUND('Drivers &amp; Assumptions'!C27*(1+'Drivers &amp; Assumptions'!C28)^1,0),0)</f>
        <v>0</v>
      </c>
      <c r="O8" s="24">
        <f>IF(MOD(14,'Drivers &amp; Assumptions'!C26)=0,ROUND('Drivers &amp; Assumptions'!C27*(1+'Drivers &amp; Assumptions'!C28)^1,0),0)</f>
        <v>0</v>
      </c>
      <c r="P8" s="24">
        <f>IF(MOD(15,'Drivers &amp; Assumptions'!C26)=0,ROUND('Drivers &amp; Assumptions'!C27*(1+'Drivers &amp; Assumptions'!C28)^1,0),0)</f>
        <v>6</v>
      </c>
      <c r="Q8" s="24">
        <f>IF(MOD(16,'Drivers &amp; Assumptions'!C26)=0,ROUND('Drivers &amp; Assumptions'!C27*(1+'Drivers &amp; Assumptions'!C28)^1,0),0)</f>
        <v>0</v>
      </c>
      <c r="R8" s="24">
        <f>IF(MOD(17,'Drivers &amp; Assumptions'!C26)=0,ROUND('Drivers &amp; Assumptions'!C27*(1+'Drivers &amp; Assumptions'!C28)^1,0),0)</f>
        <v>0</v>
      </c>
      <c r="S8" s="24">
        <f>IF(MOD(18,'Drivers &amp; Assumptions'!C26)=0,ROUND('Drivers &amp; Assumptions'!C27*(1+'Drivers &amp; Assumptions'!C28)^1,0),0)</f>
        <v>6</v>
      </c>
      <c r="T8" s="24">
        <f>IF(MOD(19,'Drivers &amp; Assumptions'!C26)=0,ROUND('Drivers &amp; Assumptions'!C27*(1+'Drivers &amp; Assumptions'!C28)^1,0),0)</f>
        <v>0</v>
      </c>
      <c r="U8" s="24">
        <f>IF(MOD(20,'Drivers &amp; Assumptions'!C26)=0,ROUND('Drivers &amp; Assumptions'!C27*(1+'Drivers &amp; Assumptions'!C28)^1,0),0)</f>
        <v>0</v>
      </c>
      <c r="V8" s="24">
        <f>IF(MOD(21,'Drivers &amp; Assumptions'!C26)=0,ROUND('Drivers &amp; Assumptions'!C27*(1+'Drivers &amp; Assumptions'!C28)^1,0),0)</f>
        <v>6</v>
      </c>
      <c r="W8" s="24">
        <f>IF(MOD(22,'Drivers &amp; Assumptions'!C26)=0,ROUND('Drivers &amp; Assumptions'!C27*(1+'Drivers &amp; Assumptions'!C28)^1,0),0)</f>
        <v>0</v>
      </c>
      <c r="X8" s="24">
        <f>IF(MOD(23,'Drivers &amp; Assumptions'!C26)=0,ROUND('Drivers &amp; Assumptions'!C27*(1+'Drivers &amp; Assumptions'!C28)^1,0),0)</f>
        <v>0</v>
      </c>
      <c r="Y8" s="24">
        <f>IF(MOD(24,'Drivers &amp; Assumptions'!C26)=0,ROUND('Drivers &amp; Assumptions'!C27*(1+'Drivers &amp; Assumptions'!C28)^1,0),0)</f>
        <v>6</v>
      </c>
      <c r="Z8" s="24">
        <f>IF(MOD(25,'Drivers &amp; Assumptions'!C26)=0,ROUND('Drivers &amp; Assumptions'!C27*(1+'Drivers &amp; Assumptions'!C28)^2,0),0)</f>
        <v>0</v>
      </c>
      <c r="AA8" s="24">
        <f>IF(MOD(26,'Drivers &amp; Assumptions'!C26)=0,ROUND('Drivers &amp; Assumptions'!C27*(1+'Drivers &amp; Assumptions'!C28)^2,0),0)</f>
        <v>0</v>
      </c>
      <c r="AB8" s="24">
        <f>IF(MOD(27,'Drivers &amp; Assumptions'!C26)=0,ROUND('Drivers &amp; Assumptions'!C27*(1+'Drivers &amp; Assumptions'!C28)^2,0),0)</f>
        <v>8</v>
      </c>
      <c r="AC8" s="24">
        <f>IF(MOD(28,'Drivers &amp; Assumptions'!C26)=0,ROUND('Drivers &amp; Assumptions'!C27*(1+'Drivers &amp; Assumptions'!C28)^2,0),0)</f>
        <v>0</v>
      </c>
      <c r="AD8" s="24">
        <f>IF(MOD(29,'Drivers &amp; Assumptions'!C26)=0,ROUND('Drivers &amp; Assumptions'!C27*(1+'Drivers &amp; Assumptions'!C28)^2,0),0)</f>
        <v>0</v>
      </c>
      <c r="AE8" s="24">
        <f>IF(MOD(30,'Drivers &amp; Assumptions'!C26)=0,ROUND('Drivers &amp; Assumptions'!C27*(1+'Drivers &amp; Assumptions'!C28)^2,0),0)</f>
        <v>8</v>
      </c>
      <c r="AF8" s="24">
        <f>IF(MOD(31,'Drivers &amp; Assumptions'!C26)=0,ROUND('Drivers &amp; Assumptions'!C27*(1+'Drivers &amp; Assumptions'!C28)^2,0),0)</f>
        <v>0</v>
      </c>
      <c r="AG8" s="24">
        <f>IF(MOD(32,'Drivers &amp; Assumptions'!C26)=0,ROUND('Drivers &amp; Assumptions'!C27*(1+'Drivers &amp; Assumptions'!C28)^2,0),0)</f>
        <v>0</v>
      </c>
      <c r="AH8" s="24">
        <f>IF(MOD(33,'Drivers &amp; Assumptions'!C26)=0,ROUND('Drivers &amp; Assumptions'!C27*(1+'Drivers &amp; Assumptions'!C28)^2,0),0)</f>
        <v>8</v>
      </c>
      <c r="AI8" s="24">
        <f>IF(MOD(34,'Drivers &amp; Assumptions'!C26)=0,ROUND('Drivers &amp; Assumptions'!C27*(1+'Drivers &amp; Assumptions'!C28)^2,0),0)</f>
        <v>0</v>
      </c>
      <c r="AJ8" s="24">
        <f>IF(MOD(35,'Drivers &amp; Assumptions'!C26)=0,ROUND('Drivers &amp; Assumptions'!C27*(1+'Drivers &amp; Assumptions'!C28)^2,0),0)</f>
        <v>0</v>
      </c>
      <c r="AK8" s="24">
        <f>IF(MOD(36,'Drivers &amp; Assumptions'!C26)=0,ROUND('Drivers &amp; Assumptions'!C27*(1+'Drivers &amp; Assumptions'!C28)^2,0),0)</f>
        <v>8</v>
      </c>
      <c r="AL8" s="24">
        <f>IF(MOD(37,'Drivers &amp; Assumptions'!C26)=0,ROUND('Drivers &amp; Assumptions'!C27*(1+'Drivers &amp; Assumptions'!C28)^3,0),0)</f>
        <v>0</v>
      </c>
      <c r="AM8" s="24">
        <f>IF(MOD(38,'Drivers &amp; Assumptions'!C26)=0,ROUND('Drivers &amp; Assumptions'!C27*(1+'Drivers &amp; Assumptions'!C28)^3,0),0)</f>
        <v>0</v>
      </c>
      <c r="AN8" s="24">
        <f>IF(MOD(39,'Drivers &amp; Assumptions'!C26)=0,ROUND('Drivers &amp; Assumptions'!C27*(1+'Drivers &amp; Assumptions'!C28)^3,0),0)</f>
        <v>10</v>
      </c>
      <c r="AO8" s="24">
        <f>IF(MOD(40,'Drivers &amp; Assumptions'!C26)=0,ROUND('Drivers &amp; Assumptions'!C27*(1+'Drivers &amp; Assumptions'!C28)^3,0),0)</f>
        <v>0</v>
      </c>
      <c r="AP8" s="24">
        <f>IF(MOD(41,'Drivers &amp; Assumptions'!C26)=0,ROUND('Drivers &amp; Assumptions'!C27*(1+'Drivers &amp; Assumptions'!C28)^3,0),0)</f>
        <v>0</v>
      </c>
      <c r="AQ8" s="24">
        <f>IF(MOD(42,'Drivers &amp; Assumptions'!C26)=0,ROUND('Drivers &amp; Assumptions'!C27*(1+'Drivers &amp; Assumptions'!C28)^3,0),0)</f>
        <v>10</v>
      </c>
      <c r="AR8" s="24">
        <f>IF(MOD(43,'Drivers &amp; Assumptions'!C26)=0,ROUND('Drivers &amp; Assumptions'!C27*(1+'Drivers &amp; Assumptions'!C28)^3,0),0)</f>
        <v>0</v>
      </c>
      <c r="AS8" s="24">
        <f>IF(MOD(44,'Drivers &amp; Assumptions'!C26)=0,ROUND('Drivers &amp; Assumptions'!C27*(1+'Drivers &amp; Assumptions'!C28)^3,0),0)</f>
        <v>0</v>
      </c>
      <c r="AT8" s="24">
        <f>IF(MOD(45,'Drivers &amp; Assumptions'!C26)=0,ROUND('Drivers &amp; Assumptions'!C27*(1+'Drivers &amp; Assumptions'!C28)^3,0),0)</f>
        <v>10</v>
      </c>
      <c r="AU8" s="24">
        <f>IF(MOD(46,'Drivers &amp; Assumptions'!C26)=0,ROUND('Drivers &amp; Assumptions'!C27*(1+'Drivers &amp; Assumptions'!C28)^3,0),0)</f>
        <v>0</v>
      </c>
      <c r="AV8" s="24">
        <f>IF(MOD(47,'Drivers &amp; Assumptions'!C26)=0,ROUND('Drivers &amp; Assumptions'!C27*(1+'Drivers &amp; Assumptions'!C28)^3,0),0)</f>
        <v>0</v>
      </c>
      <c r="AW8" s="24">
        <f>IF(MOD(48,'Drivers &amp; Assumptions'!C26)=0,ROUND('Drivers &amp; Assumptions'!C27*(1+'Drivers &amp; Assumptions'!C28)^3,0),0)</f>
        <v>10</v>
      </c>
      <c r="AX8" s="24">
        <f>IF(MOD(49,'Drivers &amp; Assumptions'!C26)=0,ROUND('Drivers &amp; Assumptions'!C27*(1+'Drivers &amp; Assumptions'!C28)^4,0),0)</f>
        <v>0</v>
      </c>
      <c r="AY8" s="24">
        <f>IF(MOD(50,'Drivers &amp; Assumptions'!C26)=0,ROUND('Drivers &amp; Assumptions'!C27*(1+'Drivers &amp; Assumptions'!C28)^4,0),0)</f>
        <v>0</v>
      </c>
      <c r="AZ8" s="24">
        <f>IF(MOD(51,'Drivers &amp; Assumptions'!C26)=0,ROUND('Drivers &amp; Assumptions'!C27*(1+'Drivers &amp; Assumptions'!C28)^4,0),0)</f>
        <v>12</v>
      </c>
      <c r="BA8" s="24">
        <f>IF(MOD(52,'Drivers &amp; Assumptions'!C26)=0,ROUND('Drivers &amp; Assumptions'!C27*(1+'Drivers &amp; Assumptions'!C28)^4,0),0)</f>
        <v>0</v>
      </c>
      <c r="BB8" s="24">
        <f>IF(MOD(53,'Drivers &amp; Assumptions'!C26)=0,ROUND('Drivers &amp; Assumptions'!C27*(1+'Drivers &amp; Assumptions'!C28)^4,0),0)</f>
        <v>0</v>
      </c>
      <c r="BC8" s="24">
        <f>IF(MOD(54,'Drivers &amp; Assumptions'!C26)=0,ROUND('Drivers &amp; Assumptions'!C27*(1+'Drivers &amp; Assumptions'!C28)^4,0),0)</f>
        <v>12</v>
      </c>
      <c r="BD8" s="24">
        <f>IF(MOD(55,'Drivers &amp; Assumptions'!C26)=0,ROUND('Drivers &amp; Assumptions'!C27*(1+'Drivers &amp; Assumptions'!C28)^4,0),0)</f>
        <v>0</v>
      </c>
      <c r="BE8" s="24">
        <f>IF(MOD(56,'Drivers &amp; Assumptions'!C26)=0,ROUND('Drivers &amp; Assumptions'!C27*(1+'Drivers &amp; Assumptions'!C28)^4,0),0)</f>
        <v>0</v>
      </c>
      <c r="BF8" s="24">
        <f>IF(MOD(57,'Drivers &amp; Assumptions'!C26)=0,ROUND('Drivers &amp; Assumptions'!C27*(1+'Drivers &amp; Assumptions'!C28)^4,0),0)</f>
        <v>12</v>
      </c>
      <c r="BG8" s="24">
        <f>IF(MOD(58,'Drivers &amp; Assumptions'!C26)=0,ROUND('Drivers &amp; Assumptions'!C27*(1+'Drivers &amp; Assumptions'!C28)^4,0),0)</f>
        <v>0</v>
      </c>
      <c r="BH8" s="24">
        <f>IF(MOD(59,'Drivers &amp; Assumptions'!C26)=0,ROUND('Drivers &amp; Assumptions'!C27*(1+'Drivers &amp; Assumptions'!C28)^4,0),0)</f>
        <v>0</v>
      </c>
      <c r="BI8" s="24">
        <f>IF(MOD(60,'Drivers &amp; Assumptions'!C26)=0,ROUND('Drivers &amp; Assumptions'!C27*(1+'Drivers &amp; Assumptions'!C28)^4,0),0)</f>
        <v>12</v>
      </c>
    </row>
    <row r="9" spans="1:61" ht="15" customHeight="1" x14ac:dyDescent="0.35">
      <c r="A9" s="7" t="s">
        <v>232</v>
      </c>
      <c r="B9" s="33">
        <v>0</v>
      </c>
      <c r="C9" s="33">
        <v>0</v>
      </c>
      <c r="D9" s="33">
        <v>0</v>
      </c>
      <c r="E9" s="33">
        <v>0</v>
      </c>
      <c r="F9" s="33">
        <v>0</v>
      </c>
      <c r="G9" s="33">
        <v>0</v>
      </c>
      <c r="H9" s="33">
        <v>0</v>
      </c>
      <c r="I9" s="33">
        <v>0</v>
      </c>
      <c r="J9" s="24">
        <f>IF(MOD(9,'Drivers &amp; Assumptions'!C26)=0,ROUND('Drivers &amp; Assumptions'!C27*(1+'Drivers &amp; Assumptions'!C28)^0,0),0)</f>
        <v>5</v>
      </c>
      <c r="K9" s="24">
        <f>IF(MOD(10,'Drivers &amp; Assumptions'!C26)=0,ROUND('Drivers &amp; Assumptions'!C27*(1+'Drivers &amp; Assumptions'!C28)^0,0),0)</f>
        <v>0</v>
      </c>
      <c r="L9" s="24">
        <f>IF(MOD(11,'Drivers &amp; Assumptions'!C26)=0,ROUND('Drivers &amp; Assumptions'!C27*(1+'Drivers &amp; Assumptions'!C28)^0,0),0)</f>
        <v>0</v>
      </c>
      <c r="M9" s="24">
        <f>IF(MOD(12,'Drivers &amp; Assumptions'!C26)=0,ROUND('Drivers &amp; Assumptions'!C27*(1+'Drivers &amp; Assumptions'!C28)^0,0),0)</f>
        <v>5</v>
      </c>
      <c r="N9" s="24">
        <f>IF(MOD(13,'Drivers &amp; Assumptions'!C26)=0,ROUND('Drivers &amp; Assumptions'!C27*(1+'Drivers &amp; Assumptions'!C28)^1,0),0)</f>
        <v>0</v>
      </c>
      <c r="O9" s="24">
        <f>IF(MOD(14,'Drivers &amp; Assumptions'!C26)=0,ROUND('Drivers &amp; Assumptions'!C27*(1+'Drivers &amp; Assumptions'!C28)^1,0),0)</f>
        <v>0</v>
      </c>
      <c r="P9" s="24">
        <f>IF(MOD(15,'Drivers &amp; Assumptions'!C26)=0,ROUND('Drivers &amp; Assumptions'!C27*(1+'Drivers &amp; Assumptions'!C28)^1,0),0)</f>
        <v>6</v>
      </c>
      <c r="Q9" s="24">
        <f>IF(MOD(16,'Drivers &amp; Assumptions'!C26)=0,ROUND('Drivers &amp; Assumptions'!C27*(1+'Drivers &amp; Assumptions'!C28)^1,0),0)</f>
        <v>0</v>
      </c>
      <c r="R9" s="24">
        <f>IF(MOD(17,'Drivers &amp; Assumptions'!C26)=0,ROUND('Drivers &amp; Assumptions'!C27*(1+'Drivers &amp; Assumptions'!C28)^1,0),0)</f>
        <v>0</v>
      </c>
      <c r="S9" s="24">
        <f>IF(MOD(18,'Drivers &amp; Assumptions'!C26)=0,ROUND('Drivers &amp; Assumptions'!C27*(1+'Drivers &amp; Assumptions'!C28)^1,0),0)</f>
        <v>6</v>
      </c>
      <c r="T9" s="24">
        <f>IF(MOD(19,'Drivers &amp; Assumptions'!C26)=0,ROUND('Drivers &amp; Assumptions'!C27*(1+'Drivers &amp; Assumptions'!C28)^1,0),0)</f>
        <v>0</v>
      </c>
      <c r="U9" s="24">
        <f>IF(MOD(20,'Drivers &amp; Assumptions'!C26)=0,ROUND('Drivers &amp; Assumptions'!C27*(1+'Drivers &amp; Assumptions'!C28)^1,0),0)</f>
        <v>0</v>
      </c>
      <c r="V9" s="24">
        <f>IF(MOD(21,'Drivers &amp; Assumptions'!C26)=0,ROUND('Drivers &amp; Assumptions'!C27*(1+'Drivers &amp; Assumptions'!C28)^1,0),0)</f>
        <v>6</v>
      </c>
      <c r="W9" s="24">
        <f>IF(MOD(22,'Drivers &amp; Assumptions'!C26)=0,ROUND('Drivers &amp; Assumptions'!C27*(1+'Drivers &amp; Assumptions'!C28)^1,0),0)</f>
        <v>0</v>
      </c>
      <c r="X9" s="24">
        <f>IF(MOD(23,'Drivers &amp; Assumptions'!C26)=0,ROUND('Drivers &amp; Assumptions'!C27*(1+'Drivers &amp; Assumptions'!C28)^1,0),0)</f>
        <v>0</v>
      </c>
      <c r="Y9" s="24">
        <f>IF(MOD(24,'Drivers &amp; Assumptions'!C26)=0,ROUND('Drivers &amp; Assumptions'!C27*(1+'Drivers &amp; Assumptions'!C28)^1,0),0)</f>
        <v>6</v>
      </c>
      <c r="Z9" s="24">
        <f>IF(MOD(25,'Drivers &amp; Assumptions'!C26)=0,ROUND('Drivers &amp; Assumptions'!C27*(1+'Drivers &amp; Assumptions'!C28)^2,0),0)</f>
        <v>0</v>
      </c>
      <c r="AA9" s="24">
        <f>IF(MOD(26,'Drivers &amp; Assumptions'!C26)=0,ROUND('Drivers &amp; Assumptions'!C27*(1+'Drivers &amp; Assumptions'!C28)^2,0),0)</f>
        <v>0</v>
      </c>
      <c r="AB9" s="24">
        <f>IF(MOD(27,'Drivers &amp; Assumptions'!C26)=0,ROUND('Drivers &amp; Assumptions'!C27*(1+'Drivers &amp; Assumptions'!C28)^2,0),0)</f>
        <v>8</v>
      </c>
      <c r="AC9" s="24">
        <f>IF(MOD(28,'Drivers &amp; Assumptions'!C26)=0,ROUND('Drivers &amp; Assumptions'!C27*(1+'Drivers &amp; Assumptions'!C28)^2,0),0)</f>
        <v>0</v>
      </c>
      <c r="AD9" s="24">
        <f>IF(MOD(29,'Drivers &amp; Assumptions'!C26)=0,ROUND('Drivers &amp; Assumptions'!C27*(1+'Drivers &amp; Assumptions'!C28)^2,0),0)</f>
        <v>0</v>
      </c>
      <c r="AE9" s="24">
        <f>IF(MOD(30,'Drivers &amp; Assumptions'!C26)=0,ROUND('Drivers &amp; Assumptions'!C27*(1+'Drivers &amp; Assumptions'!C28)^2,0),0)</f>
        <v>8</v>
      </c>
      <c r="AF9" s="24">
        <f>IF(MOD(31,'Drivers &amp; Assumptions'!C26)=0,ROUND('Drivers &amp; Assumptions'!C27*(1+'Drivers &amp; Assumptions'!C28)^2,0),0)</f>
        <v>0</v>
      </c>
      <c r="AG9" s="24">
        <f>IF(MOD(32,'Drivers &amp; Assumptions'!C26)=0,ROUND('Drivers &amp; Assumptions'!C27*(1+'Drivers &amp; Assumptions'!C28)^2,0),0)</f>
        <v>0</v>
      </c>
      <c r="AH9" s="24">
        <f>IF(MOD(33,'Drivers &amp; Assumptions'!C26)=0,ROUND('Drivers &amp; Assumptions'!C27*(1+'Drivers &amp; Assumptions'!C28)^2,0),0)</f>
        <v>8</v>
      </c>
      <c r="AI9" s="24">
        <f>IF(MOD(34,'Drivers &amp; Assumptions'!C26)=0,ROUND('Drivers &amp; Assumptions'!C27*(1+'Drivers &amp; Assumptions'!C28)^2,0),0)</f>
        <v>0</v>
      </c>
      <c r="AJ9" s="24">
        <f>IF(MOD(35,'Drivers &amp; Assumptions'!C26)=0,ROUND('Drivers &amp; Assumptions'!C27*(1+'Drivers &amp; Assumptions'!C28)^2,0),0)</f>
        <v>0</v>
      </c>
      <c r="AK9" s="24">
        <f>IF(MOD(36,'Drivers &amp; Assumptions'!C26)=0,ROUND('Drivers &amp; Assumptions'!C27*(1+'Drivers &amp; Assumptions'!C28)^2,0),0)</f>
        <v>8</v>
      </c>
      <c r="AL9" s="24">
        <f>IF(MOD(37,'Drivers &amp; Assumptions'!C26)=0,ROUND('Drivers &amp; Assumptions'!C27*(1+'Drivers &amp; Assumptions'!C28)^3,0),0)</f>
        <v>0</v>
      </c>
      <c r="AM9" s="24">
        <f>IF(MOD(38,'Drivers &amp; Assumptions'!C26)=0,ROUND('Drivers &amp; Assumptions'!C27*(1+'Drivers &amp; Assumptions'!C28)^3,0),0)</f>
        <v>0</v>
      </c>
      <c r="AN9" s="24">
        <f>IF(MOD(39,'Drivers &amp; Assumptions'!C26)=0,ROUND('Drivers &amp; Assumptions'!C27*(1+'Drivers &amp; Assumptions'!C28)^3,0),0)</f>
        <v>10</v>
      </c>
      <c r="AO9" s="24">
        <f>IF(MOD(40,'Drivers &amp; Assumptions'!C26)=0,ROUND('Drivers &amp; Assumptions'!C27*(1+'Drivers &amp; Assumptions'!C28)^3,0),0)</f>
        <v>0</v>
      </c>
      <c r="AP9" s="24">
        <f>IF(MOD(41,'Drivers &amp; Assumptions'!C26)=0,ROUND('Drivers &amp; Assumptions'!C27*(1+'Drivers &amp; Assumptions'!C28)^3,0),0)</f>
        <v>0</v>
      </c>
      <c r="AQ9" s="24">
        <f>IF(MOD(42,'Drivers &amp; Assumptions'!C26)=0,ROUND('Drivers &amp; Assumptions'!C27*(1+'Drivers &amp; Assumptions'!C28)^3,0),0)</f>
        <v>10</v>
      </c>
      <c r="AR9" s="24">
        <f>IF(MOD(43,'Drivers &amp; Assumptions'!C26)=0,ROUND('Drivers &amp; Assumptions'!C27*(1+'Drivers &amp; Assumptions'!C28)^3,0),0)</f>
        <v>0</v>
      </c>
      <c r="AS9" s="24">
        <f>IF(MOD(44,'Drivers &amp; Assumptions'!C26)=0,ROUND('Drivers &amp; Assumptions'!C27*(1+'Drivers &amp; Assumptions'!C28)^3,0),0)</f>
        <v>0</v>
      </c>
      <c r="AT9" s="24">
        <f>IF(MOD(45,'Drivers &amp; Assumptions'!C26)=0,ROUND('Drivers &amp; Assumptions'!C27*(1+'Drivers &amp; Assumptions'!C28)^3,0),0)</f>
        <v>10</v>
      </c>
      <c r="AU9" s="24">
        <f>IF(MOD(46,'Drivers &amp; Assumptions'!C26)=0,ROUND('Drivers &amp; Assumptions'!C27*(1+'Drivers &amp; Assumptions'!C28)^3,0),0)</f>
        <v>0</v>
      </c>
      <c r="AV9" s="24">
        <f>IF(MOD(47,'Drivers &amp; Assumptions'!C26)=0,ROUND('Drivers &amp; Assumptions'!C27*(1+'Drivers &amp; Assumptions'!C28)^3,0),0)</f>
        <v>0</v>
      </c>
      <c r="AW9" s="24">
        <f>IF(MOD(48,'Drivers &amp; Assumptions'!C26)=0,ROUND('Drivers &amp; Assumptions'!C27*(1+'Drivers &amp; Assumptions'!C28)^3,0),0)</f>
        <v>10</v>
      </c>
      <c r="AX9" s="24">
        <f>IF(MOD(49,'Drivers &amp; Assumptions'!C26)=0,ROUND('Drivers &amp; Assumptions'!C27*(1+'Drivers &amp; Assumptions'!C28)^4,0),0)</f>
        <v>0</v>
      </c>
      <c r="AY9" s="24">
        <f>IF(MOD(50,'Drivers &amp; Assumptions'!C26)=0,ROUND('Drivers &amp; Assumptions'!C27*(1+'Drivers &amp; Assumptions'!C28)^4,0),0)</f>
        <v>0</v>
      </c>
      <c r="AZ9" s="24">
        <f>IF(MOD(51,'Drivers &amp; Assumptions'!C26)=0,ROUND('Drivers &amp; Assumptions'!C27*(1+'Drivers &amp; Assumptions'!C28)^4,0),0)</f>
        <v>12</v>
      </c>
      <c r="BA9" s="24">
        <f>IF(MOD(52,'Drivers &amp; Assumptions'!C26)=0,ROUND('Drivers &amp; Assumptions'!C27*(1+'Drivers &amp; Assumptions'!C28)^4,0),0)</f>
        <v>0</v>
      </c>
      <c r="BB9" s="24">
        <f>IF(MOD(53,'Drivers &amp; Assumptions'!C26)=0,ROUND('Drivers &amp; Assumptions'!C27*(1+'Drivers &amp; Assumptions'!C28)^4,0),0)</f>
        <v>0</v>
      </c>
      <c r="BC9" s="24">
        <f>IF(MOD(54,'Drivers &amp; Assumptions'!C26)=0,ROUND('Drivers &amp; Assumptions'!C27*(1+'Drivers &amp; Assumptions'!C28)^4,0),0)</f>
        <v>12</v>
      </c>
      <c r="BD9" s="24">
        <f>IF(MOD(55,'Drivers &amp; Assumptions'!C26)=0,ROUND('Drivers &amp; Assumptions'!C27*(1+'Drivers &amp; Assumptions'!C28)^4,0),0)</f>
        <v>0</v>
      </c>
      <c r="BE9" s="24">
        <f>IF(MOD(56,'Drivers &amp; Assumptions'!C26)=0,ROUND('Drivers &amp; Assumptions'!C27*(1+'Drivers &amp; Assumptions'!C28)^4,0),0)</f>
        <v>0</v>
      </c>
      <c r="BF9" s="24">
        <f>IF(MOD(57,'Drivers &amp; Assumptions'!C26)=0,ROUND('Drivers &amp; Assumptions'!C27*(1+'Drivers &amp; Assumptions'!C28)^4,0),0)</f>
        <v>12</v>
      </c>
      <c r="BG9" s="24">
        <f>IF(MOD(58,'Drivers &amp; Assumptions'!C26)=0,ROUND('Drivers &amp; Assumptions'!C27*(1+'Drivers &amp; Assumptions'!C28)^4,0),0)</f>
        <v>0</v>
      </c>
      <c r="BH9" s="24">
        <f>IF(MOD(59,'Drivers &amp; Assumptions'!C26)=0,ROUND('Drivers &amp; Assumptions'!C27*(1+'Drivers &amp; Assumptions'!C28)^4,0),0)</f>
        <v>0</v>
      </c>
      <c r="BI9" s="24">
        <f>IF(MOD(60,'Drivers &amp; Assumptions'!C26)=0,ROUND('Drivers &amp; Assumptions'!C27*(1+'Drivers &amp; Assumptions'!C28)^4,0),0)</f>
        <v>12</v>
      </c>
    </row>
    <row r="10" spans="1:61" ht="15" customHeight="1" x14ac:dyDescent="0.35">
      <c r="A10" s="7" t="s">
        <v>233</v>
      </c>
      <c r="B10" s="33">
        <v>0</v>
      </c>
      <c r="C10" s="33">
        <v>0</v>
      </c>
      <c r="D10" s="33">
        <v>0</v>
      </c>
      <c r="E10" s="33">
        <v>0</v>
      </c>
      <c r="F10" s="33">
        <v>0</v>
      </c>
      <c r="G10" s="33">
        <v>0</v>
      </c>
      <c r="H10" s="33">
        <v>0</v>
      </c>
      <c r="I10" s="33">
        <v>0</v>
      </c>
      <c r="J10" s="24">
        <f>IF(MOD(9,'Drivers &amp; Assumptions'!C26)=0,ROUND('Drivers &amp; Assumptions'!C27*(1+'Drivers &amp; Assumptions'!C28)^0,0),0)</f>
        <v>5</v>
      </c>
      <c r="K10" s="24">
        <f>IF(MOD(10,'Drivers &amp; Assumptions'!C26)=0,ROUND('Drivers &amp; Assumptions'!C27*(1+'Drivers &amp; Assumptions'!C28)^0,0),0)</f>
        <v>0</v>
      </c>
      <c r="L10" s="24">
        <f>IF(MOD(11,'Drivers &amp; Assumptions'!C26)=0,ROUND('Drivers &amp; Assumptions'!C27*(1+'Drivers &amp; Assumptions'!C28)^0,0),0)</f>
        <v>0</v>
      </c>
      <c r="M10" s="24">
        <f>IF(MOD(12,'Drivers &amp; Assumptions'!C26)=0,ROUND('Drivers &amp; Assumptions'!C27*(1+'Drivers &amp; Assumptions'!C28)^0,0),0)</f>
        <v>5</v>
      </c>
      <c r="N10" s="24">
        <f>IF(MOD(13,'Drivers &amp; Assumptions'!C26)=0,ROUND('Drivers &amp; Assumptions'!C27*(1+'Drivers &amp; Assumptions'!C28)^1,0),0)</f>
        <v>0</v>
      </c>
      <c r="O10" s="24">
        <f>IF(MOD(14,'Drivers &amp; Assumptions'!C26)=0,ROUND('Drivers &amp; Assumptions'!C27*(1+'Drivers &amp; Assumptions'!C28)^1,0),0)</f>
        <v>0</v>
      </c>
      <c r="P10" s="24">
        <f>IF(MOD(15,'Drivers &amp; Assumptions'!C26)=0,ROUND('Drivers &amp; Assumptions'!C27*(1+'Drivers &amp; Assumptions'!C28)^1,0),0)</f>
        <v>6</v>
      </c>
      <c r="Q10" s="24">
        <f>IF(MOD(16,'Drivers &amp; Assumptions'!C26)=0,ROUND('Drivers &amp; Assumptions'!C27*(1+'Drivers &amp; Assumptions'!C28)^1,0),0)</f>
        <v>0</v>
      </c>
      <c r="R10" s="24">
        <f>IF(MOD(17,'Drivers &amp; Assumptions'!C26)=0,ROUND('Drivers &amp; Assumptions'!C27*(1+'Drivers &amp; Assumptions'!C28)^1,0),0)</f>
        <v>0</v>
      </c>
      <c r="S10" s="24">
        <f>IF(MOD(18,'Drivers &amp; Assumptions'!C26)=0,ROUND('Drivers &amp; Assumptions'!C27*(1+'Drivers &amp; Assumptions'!C28)^1,0),0)</f>
        <v>6</v>
      </c>
      <c r="T10" s="24">
        <f>IF(MOD(19,'Drivers &amp; Assumptions'!C26)=0,ROUND('Drivers &amp; Assumptions'!C27*(1+'Drivers &amp; Assumptions'!C28)^1,0),0)</f>
        <v>0</v>
      </c>
      <c r="U10" s="24">
        <f>IF(MOD(20,'Drivers &amp; Assumptions'!C26)=0,ROUND('Drivers &amp; Assumptions'!C27*(1+'Drivers &amp; Assumptions'!C28)^1,0),0)</f>
        <v>0</v>
      </c>
      <c r="V10" s="24">
        <f>IF(MOD(21,'Drivers &amp; Assumptions'!C26)=0,ROUND('Drivers &amp; Assumptions'!C27*(1+'Drivers &amp; Assumptions'!C28)^1,0),0)</f>
        <v>6</v>
      </c>
      <c r="W10" s="24">
        <f>IF(MOD(22,'Drivers &amp; Assumptions'!C26)=0,ROUND('Drivers &amp; Assumptions'!C27*(1+'Drivers &amp; Assumptions'!C28)^1,0),0)</f>
        <v>0</v>
      </c>
      <c r="X10" s="24">
        <f>IF(MOD(23,'Drivers &amp; Assumptions'!C26)=0,ROUND('Drivers &amp; Assumptions'!C27*(1+'Drivers &amp; Assumptions'!C28)^1,0),0)</f>
        <v>0</v>
      </c>
      <c r="Y10" s="24">
        <f>IF(MOD(24,'Drivers &amp; Assumptions'!C26)=0,ROUND('Drivers &amp; Assumptions'!C27*(1+'Drivers &amp; Assumptions'!C28)^1,0),0)</f>
        <v>6</v>
      </c>
      <c r="Z10" s="24">
        <f>IF(MOD(25,'Drivers &amp; Assumptions'!C26)=0,ROUND('Drivers &amp; Assumptions'!C27*(1+'Drivers &amp; Assumptions'!C28)^2,0),0)</f>
        <v>0</v>
      </c>
      <c r="AA10" s="24">
        <f>IF(MOD(26,'Drivers &amp; Assumptions'!C26)=0,ROUND('Drivers &amp; Assumptions'!C27*(1+'Drivers &amp; Assumptions'!C28)^2,0),0)</f>
        <v>0</v>
      </c>
      <c r="AB10" s="24">
        <f>IF(MOD(27,'Drivers &amp; Assumptions'!C26)=0,ROUND('Drivers &amp; Assumptions'!C27*(1+'Drivers &amp; Assumptions'!C28)^2,0),0)</f>
        <v>8</v>
      </c>
      <c r="AC10" s="24">
        <f>IF(MOD(28,'Drivers &amp; Assumptions'!C26)=0,ROUND('Drivers &amp; Assumptions'!C27*(1+'Drivers &amp; Assumptions'!C28)^2,0),0)</f>
        <v>0</v>
      </c>
      <c r="AD10" s="24">
        <f>IF(MOD(29,'Drivers &amp; Assumptions'!C26)=0,ROUND('Drivers &amp; Assumptions'!C27*(1+'Drivers &amp; Assumptions'!C28)^2,0),0)</f>
        <v>0</v>
      </c>
      <c r="AE10" s="24">
        <f>IF(MOD(30,'Drivers &amp; Assumptions'!C26)=0,ROUND('Drivers &amp; Assumptions'!C27*(1+'Drivers &amp; Assumptions'!C28)^2,0),0)</f>
        <v>8</v>
      </c>
      <c r="AF10" s="24">
        <f>IF(MOD(31,'Drivers &amp; Assumptions'!C26)=0,ROUND('Drivers &amp; Assumptions'!C27*(1+'Drivers &amp; Assumptions'!C28)^2,0),0)</f>
        <v>0</v>
      </c>
      <c r="AG10" s="24">
        <f>IF(MOD(32,'Drivers &amp; Assumptions'!C26)=0,ROUND('Drivers &amp; Assumptions'!C27*(1+'Drivers &amp; Assumptions'!C28)^2,0),0)</f>
        <v>0</v>
      </c>
      <c r="AH10" s="24">
        <f>IF(MOD(33,'Drivers &amp; Assumptions'!C26)=0,ROUND('Drivers &amp; Assumptions'!C27*(1+'Drivers &amp; Assumptions'!C28)^2,0),0)</f>
        <v>8</v>
      </c>
      <c r="AI10" s="24">
        <f>IF(MOD(34,'Drivers &amp; Assumptions'!C26)=0,ROUND('Drivers &amp; Assumptions'!C27*(1+'Drivers &amp; Assumptions'!C28)^2,0),0)</f>
        <v>0</v>
      </c>
      <c r="AJ10" s="24">
        <f>IF(MOD(35,'Drivers &amp; Assumptions'!C26)=0,ROUND('Drivers &amp; Assumptions'!C27*(1+'Drivers &amp; Assumptions'!C28)^2,0),0)</f>
        <v>0</v>
      </c>
      <c r="AK10" s="24">
        <f>IF(MOD(36,'Drivers &amp; Assumptions'!C26)=0,ROUND('Drivers &amp; Assumptions'!C27*(1+'Drivers &amp; Assumptions'!C28)^2,0),0)</f>
        <v>8</v>
      </c>
      <c r="AL10" s="24">
        <f>IF(MOD(37,'Drivers &amp; Assumptions'!C26)=0,ROUND('Drivers &amp; Assumptions'!C27*(1+'Drivers &amp; Assumptions'!C28)^3,0),0)</f>
        <v>0</v>
      </c>
      <c r="AM10" s="24">
        <f>IF(MOD(38,'Drivers &amp; Assumptions'!C26)=0,ROUND('Drivers &amp; Assumptions'!C27*(1+'Drivers &amp; Assumptions'!C28)^3,0),0)</f>
        <v>0</v>
      </c>
      <c r="AN10" s="24">
        <f>IF(MOD(39,'Drivers &amp; Assumptions'!C26)=0,ROUND('Drivers &amp; Assumptions'!C27*(1+'Drivers &amp; Assumptions'!C28)^3,0),0)</f>
        <v>10</v>
      </c>
      <c r="AO10" s="24">
        <f>IF(MOD(40,'Drivers &amp; Assumptions'!C26)=0,ROUND('Drivers &amp; Assumptions'!C27*(1+'Drivers &amp; Assumptions'!C28)^3,0),0)</f>
        <v>0</v>
      </c>
      <c r="AP10" s="24">
        <f>IF(MOD(41,'Drivers &amp; Assumptions'!C26)=0,ROUND('Drivers &amp; Assumptions'!C27*(1+'Drivers &amp; Assumptions'!C28)^3,0),0)</f>
        <v>0</v>
      </c>
      <c r="AQ10" s="24">
        <f>IF(MOD(42,'Drivers &amp; Assumptions'!C26)=0,ROUND('Drivers &amp; Assumptions'!C27*(1+'Drivers &amp; Assumptions'!C28)^3,0),0)</f>
        <v>10</v>
      </c>
      <c r="AR10" s="24">
        <f>IF(MOD(43,'Drivers &amp; Assumptions'!C26)=0,ROUND('Drivers &amp; Assumptions'!C27*(1+'Drivers &amp; Assumptions'!C28)^3,0),0)</f>
        <v>0</v>
      </c>
      <c r="AS10" s="24">
        <f>IF(MOD(44,'Drivers &amp; Assumptions'!C26)=0,ROUND('Drivers &amp; Assumptions'!C27*(1+'Drivers &amp; Assumptions'!C28)^3,0),0)</f>
        <v>0</v>
      </c>
      <c r="AT10" s="24">
        <f>IF(MOD(45,'Drivers &amp; Assumptions'!C26)=0,ROUND('Drivers &amp; Assumptions'!C27*(1+'Drivers &amp; Assumptions'!C28)^3,0),0)</f>
        <v>10</v>
      </c>
      <c r="AU10" s="24">
        <f>IF(MOD(46,'Drivers &amp; Assumptions'!C26)=0,ROUND('Drivers &amp; Assumptions'!C27*(1+'Drivers &amp; Assumptions'!C28)^3,0),0)</f>
        <v>0</v>
      </c>
      <c r="AV10" s="24">
        <f>IF(MOD(47,'Drivers &amp; Assumptions'!C26)=0,ROUND('Drivers &amp; Assumptions'!C27*(1+'Drivers &amp; Assumptions'!C28)^3,0),0)</f>
        <v>0</v>
      </c>
      <c r="AW10" s="24">
        <f>IF(MOD(48,'Drivers &amp; Assumptions'!C26)=0,ROUND('Drivers &amp; Assumptions'!C27*(1+'Drivers &amp; Assumptions'!C28)^3,0),0)</f>
        <v>10</v>
      </c>
      <c r="AX10" s="24">
        <f>IF(MOD(49,'Drivers &amp; Assumptions'!C26)=0,ROUND('Drivers &amp; Assumptions'!C27*(1+'Drivers &amp; Assumptions'!C28)^4,0),0)</f>
        <v>0</v>
      </c>
      <c r="AY10" s="24">
        <f>IF(MOD(50,'Drivers &amp; Assumptions'!C26)=0,ROUND('Drivers &amp; Assumptions'!C27*(1+'Drivers &amp; Assumptions'!C28)^4,0),0)</f>
        <v>0</v>
      </c>
      <c r="AZ10" s="24">
        <f>IF(MOD(51,'Drivers &amp; Assumptions'!C26)=0,ROUND('Drivers &amp; Assumptions'!C27*(1+'Drivers &amp; Assumptions'!C28)^4,0),0)</f>
        <v>12</v>
      </c>
      <c r="BA10" s="24">
        <f>IF(MOD(52,'Drivers &amp; Assumptions'!C26)=0,ROUND('Drivers &amp; Assumptions'!C27*(1+'Drivers &amp; Assumptions'!C28)^4,0),0)</f>
        <v>0</v>
      </c>
      <c r="BB10" s="24">
        <f>IF(MOD(53,'Drivers &amp; Assumptions'!C26)=0,ROUND('Drivers &amp; Assumptions'!C27*(1+'Drivers &amp; Assumptions'!C28)^4,0),0)</f>
        <v>0</v>
      </c>
      <c r="BC10" s="24">
        <f>IF(MOD(54,'Drivers &amp; Assumptions'!C26)=0,ROUND('Drivers &amp; Assumptions'!C27*(1+'Drivers &amp; Assumptions'!C28)^4,0),0)</f>
        <v>12</v>
      </c>
      <c r="BD10" s="24">
        <f>IF(MOD(55,'Drivers &amp; Assumptions'!C26)=0,ROUND('Drivers &amp; Assumptions'!C27*(1+'Drivers &amp; Assumptions'!C28)^4,0),0)</f>
        <v>0</v>
      </c>
      <c r="BE10" s="24">
        <f>IF(MOD(56,'Drivers &amp; Assumptions'!C26)=0,ROUND('Drivers &amp; Assumptions'!C27*(1+'Drivers &amp; Assumptions'!C28)^4,0),0)</f>
        <v>0</v>
      </c>
      <c r="BF10" s="24">
        <f>IF(MOD(57,'Drivers &amp; Assumptions'!C26)=0,ROUND('Drivers &amp; Assumptions'!C27*(1+'Drivers &amp; Assumptions'!C28)^4,0),0)</f>
        <v>12</v>
      </c>
      <c r="BG10" s="24">
        <f>IF(MOD(58,'Drivers &amp; Assumptions'!C26)=0,ROUND('Drivers &amp; Assumptions'!C27*(1+'Drivers &amp; Assumptions'!C28)^4,0),0)</f>
        <v>0</v>
      </c>
      <c r="BH10" s="24">
        <f>IF(MOD(59,'Drivers &amp; Assumptions'!C26)=0,ROUND('Drivers &amp; Assumptions'!C27*(1+'Drivers &amp; Assumptions'!C28)^4,0),0)</f>
        <v>0</v>
      </c>
      <c r="BI10" s="24">
        <f>IF(MOD(60,'Drivers &amp; Assumptions'!C26)=0,ROUND('Drivers &amp; Assumptions'!C27*(1+'Drivers &amp; Assumptions'!C28)^4,0),0)</f>
        <v>12</v>
      </c>
    </row>
    <row r="11" spans="1:61" ht="15" customHeight="1" x14ac:dyDescent="0.35">
      <c r="A11" s="7" t="s">
        <v>234</v>
      </c>
      <c r="B11" s="33">
        <v>0</v>
      </c>
      <c r="C11" s="33">
        <v>0</v>
      </c>
      <c r="D11" s="33">
        <v>0</v>
      </c>
      <c r="E11" s="33">
        <v>0</v>
      </c>
      <c r="F11" s="33">
        <v>0</v>
      </c>
      <c r="G11" s="33">
        <v>0</v>
      </c>
      <c r="H11" s="33">
        <v>0</v>
      </c>
      <c r="I11" s="33">
        <v>0</v>
      </c>
      <c r="J11" s="24">
        <f>IF(MOD(9,'Drivers &amp; Assumptions'!C26)=0,ROUND('Drivers &amp; Assumptions'!C27*(1+'Drivers &amp; Assumptions'!C28)^0,0),0)</f>
        <v>5</v>
      </c>
      <c r="K11" s="24">
        <f>IF(MOD(10,'Drivers &amp; Assumptions'!C26)=0,ROUND('Drivers &amp; Assumptions'!C27*(1+'Drivers &amp; Assumptions'!C28)^0,0),0)</f>
        <v>0</v>
      </c>
      <c r="L11" s="24">
        <f>IF(MOD(11,'Drivers &amp; Assumptions'!C26)=0,ROUND('Drivers &amp; Assumptions'!C27*(1+'Drivers &amp; Assumptions'!C28)^0,0),0)</f>
        <v>0</v>
      </c>
      <c r="M11" s="24">
        <f>IF(MOD(12,'Drivers &amp; Assumptions'!C26)=0,ROUND('Drivers &amp; Assumptions'!C27*(1+'Drivers &amp; Assumptions'!C28)^0,0),0)</f>
        <v>5</v>
      </c>
      <c r="N11" s="24">
        <f>IF(MOD(13,'Drivers &amp; Assumptions'!C26)=0,ROUND('Drivers &amp; Assumptions'!C27*(1+'Drivers &amp; Assumptions'!C28)^1,0),0)</f>
        <v>0</v>
      </c>
      <c r="O11" s="24">
        <f>IF(MOD(14,'Drivers &amp; Assumptions'!C26)=0,ROUND('Drivers &amp; Assumptions'!C27*(1+'Drivers &amp; Assumptions'!C28)^1,0),0)</f>
        <v>0</v>
      </c>
      <c r="P11" s="24">
        <f>IF(MOD(15,'Drivers &amp; Assumptions'!C26)=0,ROUND('Drivers &amp; Assumptions'!C27*(1+'Drivers &amp; Assumptions'!C28)^1,0),0)</f>
        <v>6</v>
      </c>
      <c r="Q11" s="24">
        <f>IF(MOD(16,'Drivers &amp; Assumptions'!C26)=0,ROUND('Drivers &amp; Assumptions'!C27*(1+'Drivers &amp; Assumptions'!C28)^1,0),0)</f>
        <v>0</v>
      </c>
      <c r="R11" s="24">
        <f>IF(MOD(17,'Drivers &amp; Assumptions'!C26)=0,ROUND('Drivers &amp; Assumptions'!C27*(1+'Drivers &amp; Assumptions'!C28)^1,0),0)</f>
        <v>0</v>
      </c>
      <c r="S11" s="24">
        <f>IF(MOD(18,'Drivers &amp; Assumptions'!C26)=0,ROUND('Drivers &amp; Assumptions'!C27*(1+'Drivers &amp; Assumptions'!C28)^1,0),0)</f>
        <v>6</v>
      </c>
      <c r="T11" s="24">
        <f>IF(MOD(19,'Drivers &amp; Assumptions'!C26)=0,ROUND('Drivers &amp; Assumptions'!C27*(1+'Drivers &amp; Assumptions'!C28)^1,0),0)</f>
        <v>0</v>
      </c>
      <c r="U11" s="24">
        <f>IF(MOD(20,'Drivers &amp; Assumptions'!C26)=0,ROUND('Drivers &amp; Assumptions'!C27*(1+'Drivers &amp; Assumptions'!C28)^1,0),0)</f>
        <v>0</v>
      </c>
      <c r="V11" s="24">
        <f>IF(MOD(21,'Drivers &amp; Assumptions'!C26)=0,ROUND('Drivers &amp; Assumptions'!C27*(1+'Drivers &amp; Assumptions'!C28)^1,0),0)</f>
        <v>6</v>
      </c>
      <c r="W11" s="24">
        <f>IF(MOD(22,'Drivers &amp; Assumptions'!C26)=0,ROUND('Drivers &amp; Assumptions'!C27*(1+'Drivers &amp; Assumptions'!C28)^1,0),0)</f>
        <v>0</v>
      </c>
      <c r="X11" s="24">
        <f>IF(MOD(23,'Drivers &amp; Assumptions'!C26)=0,ROUND('Drivers &amp; Assumptions'!C27*(1+'Drivers &amp; Assumptions'!C28)^1,0),0)</f>
        <v>0</v>
      </c>
      <c r="Y11" s="24">
        <f>IF(MOD(24,'Drivers &amp; Assumptions'!C26)=0,ROUND('Drivers &amp; Assumptions'!C27*(1+'Drivers &amp; Assumptions'!C28)^1,0),0)</f>
        <v>6</v>
      </c>
      <c r="Z11" s="24">
        <f>IF(MOD(25,'Drivers &amp; Assumptions'!C26)=0,ROUND('Drivers &amp; Assumptions'!C27*(1+'Drivers &amp; Assumptions'!C28)^2,0),0)</f>
        <v>0</v>
      </c>
      <c r="AA11" s="24">
        <f>IF(MOD(26,'Drivers &amp; Assumptions'!C26)=0,ROUND('Drivers &amp; Assumptions'!C27*(1+'Drivers &amp; Assumptions'!C28)^2,0),0)</f>
        <v>0</v>
      </c>
      <c r="AB11" s="24">
        <f>IF(MOD(27,'Drivers &amp; Assumptions'!C26)=0,ROUND('Drivers &amp; Assumptions'!C27*(1+'Drivers &amp; Assumptions'!C28)^2,0),0)</f>
        <v>8</v>
      </c>
      <c r="AC11" s="24">
        <f>IF(MOD(28,'Drivers &amp; Assumptions'!C26)=0,ROUND('Drivers &amp; Assumptions'!C27*(1+'Drivers &amp; Assumptions'!C28)^2,0),0)</f>
        <v>0</v>
      </c>
      <c r="AD11" s="24">
        <f>IF(MOD(29,'Drivers &amp; Assumptions'!C26)=0,ROUND('Drivers &amp; Assumptions'!C27*(1+'Drivers &amp; Assumptions'!C28)^2,0),0)</f>
        <v>0</v>
      </c>
      <c r="AE11" s="24">
        <f>IF(MOD(30,'Drivers &amp; Assumptions'!C26)=0,ROUND('Drivers &amp; Assumptions'!C27*(1+'Drivers &amp; Assumptions'!C28)^2,0),0)</f>
        <v>8</v>
      </c>
      <c r="AF11" s="24">
        <f>IF(MOD(31,'Drivers &amp; Assumptions'!C26)=0,ROUND('Drivers &amp; Assumptions'!C27*(1+'Drivers &amp; Assumptions'!C28)^2,0),0)</f>
        <v>0</v>
      </c>
      <c r="AG11" s="24">
        <f>IF(MOD(32,'Drivers &amp; Assumptions'!C26)=0,ROUND('Drivers &amp; Assumptions'!C27*(1+'Drivers &amp; Assumptions'!C28)^2,0),0)</f>
        <v>0</v>
      </c>
      <c r="AH11" s="24">
        <f>IF(MOD(33,'Drivers &amp; Assumptions'!C26)=0,ROUND('Drivers &amp; Assumptions'!C27*(1+'Drivers &amp; Assumptions'!C28)^2,0),0)</f>
        <v>8</v>
      </c>
      <c r="AI11" s="24">
        <f>IF(MOD(34,'Drivers &amp; Assumptions'!C26)=0,ROUND('Drivers &amp; Assumptions'!C27*(1+'Drivers &amp; Assumptions'!C28)^2,0),0)</f>
        <v>0</v>
      </c>
      <c r="AJ11" s="24">
        <f>IF(MOD(35,'Drivers &amp; Assumptions'!C26)=0,ROUND('Drivers &amp; Assumptions'!C27*(1+'Drivers &amp; Assumptions'!C28)^2,0),0)</f>
        <v>0</v>
      </c>
      <c r="AK11" s="24">
        <f>IF(MOD(36,'Drivers &amp; Assumptions'!C26)=0,ROUND('Drivers &amp; Assumptions'!C27*(1+'Drivers &amp; Assumptions'!C28)^2,0),0)</f>
        <v>8</v>
      </c>
      <c r="AL11" s="24">
        <f>IF(MOD(37,'Drivers &amp; Assumptions'!C26)=0,ROUND('Drivers &amp; Assumptions'!C27*(1+'Drivers &amp; Assumptions'!C28)^3,0),0)</f>
        <v>0</v>
      </c>
      <c r="AM11" s="24">
        <f>IF(MOD(38,'Drivers &amp; Assumptions'!C26)=0,ROUND('Drivers &amp; Assumptions'!C27*(1+'Drivers &amp; Assumptions'!C28)^3,0),0)</f>
        <v>0</v>
      </c>
      <c r="AN11" s="24">
        <f>IF(MOD(39,'Drivers &amp; Assumptions'!C26)=0,ROUND('Drivers &amp; Assumptions'!C27*(1+'Drivers &amp; Assumptions'!C28)^3,0),0)</f>
        <v>10</v>
      </c>
      <c r="AO11" s="24">
        <f>IF(MOD(40,'Drivers &amp; Assumptions'!C26)=0,ROUND('Drivers &amp; Assumptions'!C27*(1+'Drivers &amp; Assumptions'!C28)^3,0),0)</f>
        <v>0</v>
      </c>
      <c r="AP11" s="24">
        <f>IF(MOD(41,'Drivers &amp; Assumptions'!C26)=0,ROUND('Drivers &amp; Assumptions'!C27*(1+'Drivers &amp; Assumptions'!C28)^3,0),0)</f>
        <v>0</v>
      </c>
      <c r="AQ11" s="24">
        <f>IF(MOD(42,'Drivers &amp; Assumptions'!C26)=0,ROUND('Drivers &amp; Assumptions'!C27*(1+'Drivers &amp; Assumptions'!C28)^3,0),0)</f>
        <v>10</v>
      </c>
      <c r="AR11" s="24">
        <f>IF(MOD(43,'Drivers &amp; Assumptions'!C26)=0,ROUND('Drivers &amp; Assumptions'!C27*(1+'Drivers &amp; Assumptions'!C28)^3,0),0)</f>
        <v>0</v>
      </c>
      <c r="AS11" s="24">
        <f>IF(MOD(44,'Drivers &amp; Assumptions'!C26)=0,ROUND('Drivers &amp; Assumptions'!C27*(1+'Drivers &amp; Assumptions'!C28)^3,0),0)</f>
        <v>0</v>
      </c>
      <c r="AT11" s="24">
        <f>IF(MOD(45,'Drivers &amp; Assumptions'!C26)=0,ROUND('Drivers &amp; Assumptions'!C27*(1+'Drivers &amp; Assumptions'!C28)^3,0),0)</f>
        <v>10</v>
      </c>
      <c r="AU11" s="24">
        <f>IF(MOD(46,'Drivers &amp; Assumptions'!C26)=0,ROUND('Drivers &amp; Assumptions'!C27*(1+'Drivers &amp; Assumptions'!C28)^3,0),0)</f>
        <v>0</v>
      </c>
      <c r="AV11" s="24">
        <f>IF(MOD(47,'Drivers &amp; Assumptions'!C26)=0,ROUND('Drivers &amp; Assumptions'!C27*(1+'Drivers &amp; Assumptions'!C28)^3,0),0)</f>
        <v>0</v>
      </c>
      <c r="AW11" s="24">
        <f>IF(MOD(48,'Drivers &amp; Assumptions'!C26)=0,ROUND('Drivers &amp; Assumptions'!C27*(1+'Drivers &amp; Assumptions'!C28)^3,0),0)</f>
        <v>10</v>
      </c>
      <c r="AX11" s="24">
        <f>IF(MOD(49,'Drivers &amp; Assumptions'!C26)=0,ROUND('Drivers &amp; Assumptions'!C27*(1+'Drivers &amp; Assumptions'!C28)^4,0),0)</f>
        <v>0</v>
      </c>
      <c r="AY11" s="24">
        <f>IF(MOD(50,'Drivers &amp; Assumptions'!C26)=0,ROUND('Drivers &amp; Assumptions'!C27*(1+'Drivers &amp; Assumptions'!C28)^4,0),0)</f>
        <v>0</v>
      </c>
      <c r="AZ11" s="24">
        <f>IF(MOD(51,'Drivers &amp; Assumptions'!C26)=0,ROUND('Drivers &amp; Assumptions'!C27*(1+'Drivers &amp; Assumptions'!C28)^4,0),0)</f>
        <v>12</v>
      </c>
      <c r="BA11" s="24">
        <f>IF(MOD(52,'Drivers &amp; Assumptions'!C26)=0,ROUND('Drivers &amp; Assumptions'!C27*(1+'Drivers &amp; Assumptions'!C28)^4,0),0)</f>
        <v>0</v>
      </c>
      <c r="BB11" s="24">
        <f>IF(MOD(53,'Drivers &amp; Assumptions'!C26)=0,ROUND('Drivers &amp; Assumptions'!C27*(1+'Drivers &amp; Assumptions'!C28)^4,0),0)</f>
        <v>0</v>
      </c>
      <c r="BC11" s="24">
        <f>IF(MOD(54,'Drivers &amp; Assumptions'!C26)=0,ROUND('Drivers &amp; Assumptions'!C27*(1+'Drivers &amp; Assumptions'!C28)^4,0),0)</f>
        <v>12</v>
      </c>
      <c r="BD11" s="24">
        <f>IF(MOD(55,'Drivers &amp; Assumptions'!C26)=0,ROUND('Drivers &amp; Assumptions'!C27*(1+'Drivers &amp; Assumptions'!C28)^4,0),0)</f>
        <v>0</v>
      </c>
      <c r="BE11" s="24">
        <f>IF(MOD(56,'Drivers &amp; Assumptions'!C26)=0,ROUND('Drivers &amp; Assumptions'!C27*(1+'Drivers &amp; Assumptions'!C28)^4,0),0)</f>
        <v>0</v>
      </c>
      <c r="BF11" s="24">
        <f>IF(MOD(57,'Drivers &amp; Assumptions'!C26)=0,ROUND('Drivers &amp; Assumptions'!C27*(1+'Drivers &amp; Assumptions'!C28)^4,0),0)</f>
        <v>12</v>
      </c>
      <c r="BG11" s="24">
        <f>IF(MOD(58,'Drivers &amp; Assumptions'!C26)=0,ROUND('Drivers &amp; Assumptions'!C27*(1+'Drivers &amp; Assumptions'!C28)^4,0),0)</f>
        <v>0</v>
      </c>
      <c r="BH11" s="24">
        <f>IF(MOD(59,'Drivers &amp; Assumptions'!C26)=0,ROUND('Drivers &amp; Assumptions'!C27*(1+'Drivers &amp; Assumptions'!C28)^4,0),0)</f>
        <v>0</v>
      </c>
      <c r="BI11" s="24">
        <f>IF(MOD(60,'Drivers &amp; Assumptions'!C26)=0,ROUND('Drivers &amp; Assumptions'!C27*(1+'Drivers &amp; Assumptions'!C28)^4,0),0)</f>
        <v>12</v>
      </c>
    </row>
    <row r="12" spans="1:61" ht="15" customHeight="1" x14ac:dyDescent="0.35">
      <c r="A12" s="7" t="s">
        <v>235</v>
      </c>
      <c r="B12" s="33">
        <v>0</v>
      </c>
      <c r="C12" s="33">
        <v>0</v>
      </c>
      <c r="D12" s="33">
        <v>0</v>
      </c>
      <c r="E12" s="33">
        <v>0</v>
      </c>
      <c r="F12" s="33">
        <v>0</v>
      </c>
      <c r="G12" s="33">
        <v>0</v>
      </c>
      <c r="H12" s="33">
        <v>0</v>
      </c>
      <c r="I12" s="33">
        <v>0</v>
      </c>
      <c r="J12" s="24">
        <f>IF(MOD(9,'Drivers &amp; Assumptions'!C26)=0,ROUND('Drivers &amp; Assumptions'!C27*(1+'Drivers &amp; Assumptions'!C28)^0,0),0)</f>
        <v>5</v>
      </c>
      <c r="K12" s="24">
        <f>IF(MOD(10,'Drivers &amp; Assumptions'!C26)=0,ROUND('Drivers &amp; Assumptions'!C27*(1+'Drivers &amp; Assumptions'!C28)^0,0),0)</f>
        <v>0</v>
      </c>
      <c r="L12" s="24">
        <f>IF(MOD(11,'Drivers &amp; Assumptions'!C26)=0,ROUND('Drivers &amp; Assumptions'!C27*(1+'Drivers &amp; Assumptions'!C28)^0,0),0)</f>
        <v>0</v>
      </c>
      <c r="M12" s="24">
        <f>IF(MOD(12,'Drivers &amp; Assumptions'!C26)=0,ROUND('Drivers &amp; Assumptions'!C27*(1+'Drivers &amp; Assumptions'!C28)^0,0),0)</f>
        <v>5</v>
      </c>
      <c r="N12" s="24">
        <f>IF(MOD(13,'Drivers &amp; Assumptions'!C26)=0,ROUND('Drivers &amp; Assumptions'!C27*(1+'Drivers &amp; Assumptions'!C28)^1,0),0)</f>
        <v>0</v>
      </c>
      <c r="O12" s="24">
        <f>IF(MOD(14,'Drivers &amp; Assumptions'!C26)=0,ROUND('Drivers &amp; Assumptions'!C27*(1+'Drivers &amp; Assumptions'!C28)^1,0),0)</f>
        <v>0</v>
      </c>
      <c r="P12" s="24">
        <f>IF(MOD(15,'Drivers &amp; Assumptions'!C26)=0,ROUND('Drivers &amp; Assumptions'!C27*(1+'Drivers &amp; Assumptions'!C28)^1,0),0)</f>
        <v>6</v>
      </c>
      <c r="Q12" s="24">
        <f>IF(MOD(16,'Drivers &amp; Assumptions'!C26)=0,ROUND('Drivers &amp; Assumptions'!C27*(1+'Drivers &amp; Assumptions'!C28)^1,0),0)</f>
        <v>0</v>
      </c>
      <c r="R12" s="24">
        <f>IF(MOD(17,'Drivers &amp; Assumptions'!C26)=0,ROUND('Drivers &amp; Assumptions'!C27*(1+'Drivers &amp; Assumptions'!C28)^1,0),0)</f>
        <v>0</v>
      </c>
      <c r="S12" s="24">
        <f>IF(MOD(18,'Drivers &amp; Assumptions'!C26)=0,ROUND('Drivers &amp; Assumptions'!C27*(1+'Drivers &amp; Assumptions'!C28)^1,0),0)</f>
        <v>6</v>
      </c>
      <c r="T12" s="24">
        <f>IF(MOD(19,'Drivers &amp; Assumptions'!C26)=0,ROUND('Drivers &amp; Assumptions'!C27*(1+'Drivers &amp; Assumptions'!C28)^1,0),0)</f>
        <v>0</v>
      </c>
      <c r="U12" s="24">
        <f>IF(MOD(20,'Drivers &amp; Assumptions'!C26)=0,ROUND('Drivers &amp; Assumptions'!C27*(1+'Drivers &amp; Assumptions'!C28)^1,0),0)</f>
        <v>0</v>
      </c>
      <c r="V12" s="24">
        <f>IF(MOD(21,'Drivers &amp; Assumptions'!C26)=0,ROUND('Drivers &amp; Assumptions'!C27*(1+'Drivers &amp; Assumptions'!C28)^1,0),0)</f>
        <v>6</v>
      </c>
      <c r="W12" s="24">
        <f>IF(MOD(22,'Drivers &amp; Assumptions'!C26)=0,ROUND('Drivers &amp; Assumptions'!C27*(1+'Drivers &amp; Assumptions'!C28)^1,0),0)</f>
        <v>0</v>
      </c>
      <c r="X12" s="24">
        <f>IF(MOD(23,'Drivers &amp; Assumptions'!C26)=0,ROUND('Drivers &amp; Assumptions'!C27*(1+'Drivers &amp; Assumptions'!C28)^1,0),0)</f>
        <v>0</v>
      </c>
      <c r="Y12" s="24">
        <f>IF(MOD(24,'Drivers &amp; Assumptions'!C26)=0,ROUND('Drivers &amp; Assumptions'!C27*(1+'Drivers &amp; Assumptions'!C28)^1,0),0)</f>
        <v>6</v>
      </c>
      <c r="Z12" s="24">
        <f>IF(MOD(25,'Drivers &amp; Assumptions'!C26)=0,ROUND('Drivers &amp; Assumptions'!C27*(1+'Drivers &amp; Assumptions'!C28)^2,0),0)</f>
        <v>0</v>
      </c>
      <c r="AA12" s="24">
        <f>IF(MOD(26,'Drivers &amp; Assumptions'!C26)=0,ROUND('Drivers &amp; Assumptions'!C27*(1+'Drivers &amp; Assumptions'!C28)^2,0),0)</f>
        <v>0</v>
      </c>
      <c r="AB12" s="24">
        <f>IF(MOD(27,'Drivers &amp; Assumptions'!C26)=0,ROUND('Drivers &amp; Assumptions'!C27*(1+'Drivers &amp; Assumptions'!C28)^2,0),0)</f>
        <v>8</v>
      </c>
      <c r="AC12" s="24">
        <f>IF(MOD(28,'Drivers &amp; Assumptions'!C26)=0,ROUND('Drivers &amp; Assumptions'!C27*(1+'Drivers &amp; Assumptions'!C28)^2,0),0)</f>
        <v>0</v>
      </c>
      <c r="AD12" s="24">
        <f>IF(MOD(29,'Drivers &amp; Assumptions'!C26)=0,ROUND('Drivers &amp; Assumptions'!C27*(1+'Drivers &amp; Assumptions'!C28)^2,0),0)</f>
        <v>0</v>
      </c>
      <c r="AE12" s="24">
        <f>IF(MOD(30,'Drivers &amp; Assumptions'!C26)=0,ROUND('Drivers &amp; Assumptions'!C27*(1+'Drivers &amp; Assumptions'!C28)^2,0),0)</f>
        <v>8</v>
      </c>
      <c r="AF12" s="24">
        <f>IF(MOD(31,'Drivers &amp; Assumptions'!C26)=0,ROUND('Drivers &amp; Assumptions'!C27*(1+'Drivers &amp; Assumptions'!C28)^2,0),0)</f>
        <v>0</v>
      </c>
      <c r="AG12" s="24">
        <f>IF(MOD(32,'Drivers &amp; Assumptions'!C26)=0,ROUND('Drivers &amp; Assumptions'!C27*(1+'Drivers &amp; Assumptions'!C28)^2,0),0)</f>
        <v>0</v>
      </c>
      <c r="AH12" s="24">
        <f>IF(MOD(33,'Drivers &amp; Assumptions'!C26)=0,ROUND('Drivers &amp; Assumptions'!C27*(1+'Drivers &amp; Assumptions'!C28)^2,0),0)</f>
        <v>8</v>
      </c>
      <c r="AI12" s="24">
        <f>IF(MOD(34,'Drivers &amp; Assumptions'!C26)=0,ROUND('Drivers &amp; Assumptions'!C27*(1+'Drivers &amp; Assumptions'!C28)^2,0),0)</f>
        <v>0</v>
      </c>
      <c r="AJ12" s="24">
        <f>IF(MOD(35,'Drivers &amp; Assumptions'!C26)=0,ROUND('Drivers &amp; Assumptions'!C27*(1+'Drivers &amp; Assumptions'!C28)^2,0),0)</f>
        <v>0</v>
      </c>
      <c r="AK12" s="24">
        <f>IF(MOD(36,'Drivers &amp; Assumptions'!C26)=0,ROUND('Drivers &amp; Assumptions'!C27*(1+'Drivers &amp; Assumptions'!C28)^2,0),0)</f>
        <v>8</v>
      </c>
      <c r="AL12" s="24">
        <f>IF(MOD(37,'Drivers &amp; Assumptions'!C26)=0,ROUND('Drivers &amp; Assumptions'!C27*(1+'Drivers &amp; Assumptions'!C28)^3,0),0)</f>
        <v>0</v>
      </c>
      <c r="AM12" s="24">
        <f>IF(MOD(38,'Drivers &amp; Assumptions'!C26)=0,ROUND('Drivers &amp; Assumptions'!C27*(1+'Drivers &amp; Assumptions'!C28)^3,0),0)</f>
        <v>0</v>
      </c>
      <c r="AN12" s="24">
        <f>IF(MOD(39,'Drivers &amp; Assumptions'!C26)=0,ROUND('Drivers &amp; Assumptions'!C27*(1+'Drivers &amp; Assumptions'!C28)^3,0),0)</f>
        <v>10</v>
      </c>
      <c r="AO12" s="24">
        <f>IF(MOD(40,'Drivers &amp; Assumptions'!C26)=0,ROUND('Drivers &amp; Assumptions'!C27*(1+'Drivers &amp; Assumptions'!C28)^3,0),0)</f>
        <v>0</v>
      </c>
      <c r="AP12" s="24">
        <f>IF(MOD(41,'Drivers &amp; Assumptions'!C26)=0,ROUND('Drivers &amp; Assumptions'!C27*(1+'Drivers &amp; Assumptions'!C28)^3,0),0)</f>
        <v>0</v>
      </c>
      <c r="AQ12" s="24">
        <f>IF(MOD(42,'Drivers &amp; Assumptions'!C26)=0,ROUND('Drivers &amp; Assumptions'!C27*(1+'Drivers &amp; Assumptions'!C28)^3,0),0)</f>
        <v>10</v>
      </c>
      <c r="AR12" s="24">
        <f>IF(MOD(43,'Drivers &amp; Assumptions'!C26)=0,ROUND('Drivers &amp; Assumptions'!C27*(1+'Drivers &amp; Assumptions'!C28)^3,0),0)</f>
        <v>0</v>
      </c>
      <c r="AS12" s="24">
        <f>IF(MOD(44,'Drivers &amp; Assumptions'!C26)=0,ROUND('Drivers &amp; Assumptions'!C27*(1+'Drivers &amp; Assumptions'!C28)^3,0),0)</f>
        <v>0</v>
      </c>
      <c r="AT12" s="24">
        <f>IF(MOD(45,'Drivers &amp; Assumptions'!C26)=0,ROUND('Drivers &amp; Assumptions'!C27*(1+'Drivers &amp; Assumptions'!C28)^3,0),0)</f>
        <v>10</v>
      </c>
      <c r="AU12" s="24">
        <f>IF(MOD(46,'Drivers &amp; Assumptions'!C26)=0,ROUND('Drivers &amp; Assumptions'!C27*(1+'Drivers &amp; Assumptions'!C28)^3,0),0)</f>
        <v>0</v>
      </c>
      <c r="AV12" s="24">
        <f>IF(MOD(47,'Drivers &amp; Assumptions'!C26)=0,ROUND('Drivers &amp; Assumptions'!C27*(1+'Drivers &amp; Assumptions'!C28)^3,0),0)</f>
        <v>0</v>
      </c>
      <c r="AW12" s="24">
        <f>IF(MOD(48,'Drivers &amp; Assumptions'!C26)=0,ROUND('Drivers &amp; Assumptions'!C27*(1+'Drivers &amp; Assumptions'!C28)^3,0),0)</f>
        <v>10</v>
      </c>
      <c r="AX12" s="24">
        <f>IF(MOD(49,'Drivers &amp; Assumptions'!C26)=0,ROUND('Drivers &amp; Assumptions'!C27*(1+'Drivers &amp; Assumptions'!C28)^4,0),0)</f>
        <v>0</v>
      </c>
      <c r="AY12" s="24">
        <f>IF(MOD(50,'Drivers &amp; Assumptions'!C26)=0,ROUND('Drivers &amp; Assumptions'!C27*(1+'Drivers &amp; Assumptions'!C28)^4,0),0)</f>
        <v>0</v>
      </c>
      <c r="AZ12" s="24">
        <f>IF(MOD(51,'Drivers &amp; Assumptions'!C26)=0,ROUND('Drivers &amp; Assumptions'!C27*(1+'Drivers &amp; Assumptions'!C28)^4,0),0)</f>
        <v>12</v>
      </c>
      <c r="BA12" s="24">
        <f>IF(MOD(52,'Drivers &amp; Assumptions'!C26)=0,ROUND('Drivers &amp; Assumptions'!C27*(1+'Drivers &amp; Assumptions'!C28)^4,0),0)</f>
        <v>0</v>
      </c>
      <c r="BB12" s="24">
        <f>IF(MOD(53,'Drivers &amp; Assumptions'!C26)=0,ROUND('Drivers &amp; Assumptions'!C27*(1+'Drivers &amp; Assumptions'!C28)^4,0),0)</f>
        <v>0</v>
      </c>
      <c r="BC12" s="24">
        <f>IF(MOD(54,'Drivers &amp; Assumptions'!C26)=0,ROUND('Drivers &amp; Assumptions'!C27*(1+'Drivers &amp; Assumptions'!C28)^4,0),0)</f>
        <v>12</v>
      </c>
      <c r="BD12" s="24">
        <f>IF(MOD(55,'Drivers &amp; Assumptions'!C26)=0,ROUND('Drivers &amp; Assumptions'!C27*(1+'Drivers &amp; Assumptions'!C28)^4,0),0)</f>
        <v>0</v>
      </c>
      <c r="BE12" s="24">
        <f>IF(MOD(56,'Drivers &amp; Assumptions'!C26)=0,ROUND('Drivers &amp; Assumptions'!C27*(1+'Drivers &amp; Assumptions'!C28)^4,0),0)</f>
        <v>0</v>
      </c>
      <c r="BF12" s="24">
        <f>IF(MOD(57,'Drivers &amp; Assumptions'!C26)=0,ROUND('Drivers &amp; Assumptions'!C27*(1+'Drivers &amp; Assumptions'!C28)^4,0),0)</f>
        <v>12</v>
      </c>
      <c r="BG12" s="24">
        <f>IF(MOD(58,'Drivers &amp; Assumptions'!C26)=0,ROUND('Drivers &amp; Assumptions'!C27*(1+'Drivers &amp; Assumptions'!C28)^4,0),0)</f>
        <v>0</v>
      </c>
      <c r="BH12" s="24">
        <f>IF(MOD(59,'Drivers &amp; Assumptions'!C26)=0,ROUND('Drivers &amp; Assumptions'!C27*(1+'Drivers &amp; Assumptions'!C28)^4,0),0)</f>
        <v>0</v>
      </c>
      <c r="BI12" s="24">
        <f>IF(MOD(60,'Drivers &amp; Assumptions'!C26)=0,ROUND('Drivers &amp; Assumptions'!C27*(1+'Drivers &amp; Assumptions'!C28)^4,0),0)</f>
        <v>12</v>
      </c>
    </row>
    <row r="13" spans="1:61" ht="15" customHeight="1" x14ac:dyDescent="0.35">
      <c r="A13" s="7" t="s">
        <v>236</v>
      </c>
      <c r="B13" s="33">
        <v>0</v>
      </c>
      <c r="C13" s="33">
        <v>0</v>
      </c>
      <c r="D13" s="33">
        <v>0</v>
      </c>
      <c r="E13" s="33">
        <v>0</v>
      </c>
      <c r="F13" s="33">
        <v>0</v>
      </c>
      <c r="G13" s="33">
        <v>0</v>
      </c>
      <c r="H13" s="33">
        <v>0</v>
      </c>
      <c r="I13" s="33">
        <v>0</v>
      </c>
      <c r="J13" s="24">
        <f>IF(MOD(9,'Drivers &amp; Assumptions'!C26)=0,ROUND('Drivers &amp; Assumptions'!C27*(1+'Drivers &amp; Assumptions'!C28)^0,0),0)</f>
        <v>5</v>
      </c>
      <c r="K13" s="24">
        <f>IF(MOD(10,'Drivers &amp; Assumptions'!C26)=0,ROUND('Drivers &amp; Assumptions'!C27*(1+'Drivers &amp; Assumptions'!C28)^0,0),0)</f>
        <v>0</v>
      </c>
      <c r="L13" s="24">
        <f>IF(MOD(11,'Drivers &amp; Assumptions'!C26)=0,ROUND('Drivers &amp; Assumptions'!C27*(1+'Drivers &amp; Assumptions'!C28)^0,0),0)</f>
        <v>0</v>
      </c>
      <c r="M13" s="24">
        <f>IF(MOD(12,'Drivers &amp; Assumptions'!C26)=0,ROUND('Drivers &amp; Assumptions'!C27*(1+'Drivers &amp; Assumptions'!C28)^0,0),0)</f>
        <v>5</v>
      </c>
      <c r="N13" s="24">
        <f>IF(MOD(13,'Drivers &amp; Assumptions'!C26)=0,ROUND('Drivers &amp; Assumptions'!C27*(1+'Drivers &amp; Assumptions'!C28)^1,0),0)</f>
        <v>0</v>
      </c>
      <c r="O13" s="24">
        <f>IF(MOD(14,'Drivers &amp; Assumptions'!C26)=0,ROUND('Drivers &amp; Assumptions'!C27*(1+'Drivers &amp; Assumptions'!C28)^1,0),0)</f>
        <v>0</v>
      </c>
      <c r="P13" s="24">
        <f>IF(MOD(15,'Drivers &amp; Assumptions'!C26)=0,ROUND('Drivers &amp; Assumptions'!C27*(1+'Drivers &amp; Assumptions'!C28)^1,0),0)</f>
        <v>6</v>
      </c>
      <c r="Q13" s="24">
        <f>IF(MOD(16,'Drivers &amp; Assumptions'!C26)=0,ROUND('Drivers &amp; Assumptions'!C27*(1+'Drivers &amp; Assumptions'!C28)^1,0),0)</f>
        <v>0</v>
      </c>
      <c r="R13" s="24">
        <f>IF(MOD(17,'Drivers &amp; Assumptions'!C26)=0,ROUND('Drivers &amp; Assumptions'!C27*(1+'Drivers &amp; Assumptions'!C28)^1,0),0)</f>
        <v>0</v>
      </c>
      <c r="S13" s="24">
        <f>IF(MOD(18,'Drivers &amp; Assumptions'!C26)=0,ROUND('Drivers &amp; Assumptions'!C27*(1+'Drivers &amp; Assumptions'!C28)^1,0),0)</f>
        <v>6</v>
      </c>
      <c r="T13" s="24">
        <f>IF(MOD(19,'Drivers &amp; Assumptions'!C26)=0,ROUND('Drivers &amp; Assumptions'!C27*(1+'Drivers &amp; Assumptions'!C28)^1,0),0)</f>
        <v>0</v>
      </c>
      <c r="U13" s="24">
        <f>IF(MOD(20,'Drivers &amp; Assumptions'!C26)=0,ROUND('Drivers &amp; Assumptions'!C27*(1+'Drivers &amp; Assumptions'!C28)^1,0),0)</f>
        <v>0</v>
      </c>
      <c r="V13" s="24">
        <f>IF(MOD(21,'Drivers &amp; Assumptions'!C26)=0,ROUND('Drivers &amp; Assumptions'!C27*(1+'Drivers &amp; Assumptions'!C28)^1,0),0)</f>
        <v>6</v>
      </c>
      <c r="W13" s="24">
        <f>IF(MOD(22,'Drivers &amp; Assumptions'!C26)=0,ROUND('Drivers &amp; Assumptions'!C27*(1+'Drivers &amp; Assumptions'!C28)^1,0),0)</f>
        <v>0</v>
      </c>
      <c r="X13" s="24">
        <f>IF(MOD(23,'Drivers &amp; Assumptions'!C26)=0,ROUND('Drivers &amp; Assumptions'!C27*(1+'Drivers &amp; Assumptions'!C28)^1,0),0)</f>
        <v>0</v>
      </c>
      <c r="Y13" s="24">
        <f>IF(MOD(24,'Drivers &amp; Assumptions'!C26)=0,ROUND('Drivers &amp; Assumptions'!C27*(1+'Drivers &amp; Assumptions'!C28)^1,0),0)</f>
        <v>6</v>
      </c>
      <c r="Z13" s="24">
        <f>IF(MOD(25,'Drivers &amp; Assumptions'!C26)=0,ROUND('Drivers &amp; Assumptions'!C27*(1+'Drivers &amp; Assumptions'!C28)^2,0),0)</f>
        <v>0</v>
      </c>
      <c r="AA13" s="24">
        <f>IF(MOD(26,'Drivers &amp; Assumptions'!C26)=0,ROUND('Drivers &amp; Assumptions'!C27*(1+'Drivers &amp; Assumptions'!C28)^2,0),0)</f>
        <v>0</v>
      </c>
      <c r="AB13" s="24">
        <f>IF(MOD(27,'Drivers &amp; Assumptions'!C26)=0,ROUND('Drivers &amp; Assumptions'!C27*(1+'Drivers &amp; Assumptions'!C28)^2,0),0)</f>
        <v>8</v>
      </c>
      <c r="AC13" s="24">
        <f>IF(MOD(28,'Drivers &amp; Assumptions'!C26)=0,ROUND('Drivers &amp; Assumptions'!C27*(1+'Drivers &amp; Assumptions'!C28)^2,0),0)</f>
        <v>0</v>
      </c>
      <c r="AD13" s="24">
        <f>IF(MOD(29,'Drivers &amp; Assumptions'!C26)=0,ROUND('Drivers &amp; Assumptions'!C27*(1+'Drivers &amp; Assumptions'!C28)^2,0),0)</f>
        <v>0</v>
      </c>
      <c r="AE13" s="24">
        <f>IF(MOD(30,'Drivers &amp; Assumptions'!C26)=0,ROUND('Drivers &amp; Assumptions'!C27*(1+'Drivers &amp; Assumptions'!C28)^2,0),0)</f>
        <v>8</v>
      </c>
      <c r="AF13" s="24">
        <f>IF(MOD(31,'Drivers &amp; Assumptions'!C26)=0,ROUND('Drivers &amp; Assumptions'!C27*(1+'Drivers &amp; Assumptions'!C28)^2,0),0)</f>
        <v>0</v>
      </c>
      <c r="AG13" s="24">
        <f>IF(MOD(32,'Drivers &amp; Assumptions'!C26)=0,ROUND('Drivers &amp; Assumptions'!C27*(1+'Drivers &amp; Assumptions'!C28)^2,0),0)</f>
        <v>0</v>
      </c>
      <c r="AH13" s="24">
        <f>IF(MOD(33,'Drivers &amp; Assumptions'!C26)=0,ROUND('Drivers &amp; Assumptions'!C27*(1+'Drivers &amp; Assumptions'!C28)^2,0),0)</f>
        <v>8</v>
      </c>
      <c r="AI13" s="24">
        <f>IF(MOD(34,'Drivers &amp; Assumptions'!C26)=0,ROUND('Drivers &amp; Assumptions'!C27*(1+'Drivers &amp; Assumptions'!C28)^2,0),0)</f>
        <v>0</v>
      </c>
      <c r="AJ13" s="24">
        <f>IF(MOD(35,'Drivers &amp; Assumptions'!C26)=0,ROUND('Drivers &amp; Assumptions'!C27*(1+'Drivers &amp; Assumptions'!C28)^2,0),0)</f>
        <v>0</v>
      </c>
      <c r="AK13" s="24">
        <f>IF(MOD(36,'Drivers &amp; Assumptions'!C26)=0,ROUND('Drivers &amp; Assumptions'!C27*(1+'Drivers &amp; Assumptions'!C28)^2,0),0)</f>
        <v>8</v>
      </c>
      <c r="AL13" s="24">
        <f>IF(MOD(37,'Drivers &amp; Assumptions'!C26)=0,ROUND('Drivers &amp; Assumptions'!C27*(1+'Drivers &amp; Assumptions'!C28)^3,0),0)</f>
        <v>0</v>
      </c>
      <c r="AM13" s="24">
        <f>IF(MOD(38,'Drivers &amp; Assumptions'!C26)=0,ROUND('Drivers &amp; Assumptions'!C27*(1+'Drivers &amp; Assumptions'!C28)^3,0),0)</f>
        <v>0</v>
      </c>
      <c r="AN13" s="24">
        <f>IF(MOD(39,'Drivers &amp; Assumptions'!C26)=0,ROUND('Drivers &amp; Assumptions'!C27*(1+'Drivers &amp; Assumptions'!C28)^3,0),0)</f>
        <v>10</v>
      </c>
      <c r="AO13" s="24">
        <f>IF(MOD(40,'Drivers &amp; Assumptions'!C26)=0,ROUND('Drivers &amp; Assumptions'!C27*(1+'Drivers &amp; Assumptions'!C28)^3,0),0)</f>
        <v>0</v>
      </c>
      <c r="AP13" s="24">
        <f>IF(MOD(41,'Drivers &amp; Assumptions'!C26)=0,ROUND('Drivers &amp; Assumptions'!C27*(1+'Drivers &amp; Assumptions'!C28)^3,0),0)</f>
        <v>0</v>
      </c>
      <c r="AQ13" s="24">
        <f>IF(MOD(42,'Drivers &amp; Assumptions'!C26)=0,ROUND('Drivers &amp; Assumptions'!C27*(1+'Drivers &amp; Assumptions'!C28)^3,0),0)</f>
        <v>10</v>
      </c>
      <c r="AR13" s="24">
        <f>IF(MOD(43,'Drivers &amp; Assumptions'!C26)=0,ROUND('Drivers &amp; Assumptions'!C27*(1+'Drivers &amp; Assumptions'!C28)^3,0),0)</f>
        <v>0</v>
      </c>
      <c r="AS13" s="24">
        <f>IF(MOD(44,'Drivers &amp; Assumptions'!C26)=0,ROUND('Drivers &amp; Assumptions'!C27*(1+'Drivers &amp; Assumptions'!C28)^3,0),0)</f>
        <v>0</v>
      </c>
      <c r="AT13" s="24">
        <f>IF(MOD(45,'Drivers &amp; Assumptions'!C26)=0,ROUND('Drivers &amp; Assumptions'!C27*(1+'Drivers &amp; Assumptions'!C28)^3,0),0)</f>
        <v>10</v>
      </c>
      <c r="AU13" s="24">
        <f>IF(MOD(46,'Drivers &amp; Assumptions'!C26)=0,ROUND('Drivers &amp; Assumptions'!C27*(1+'Drivers &amp; Assumptions'!C28)^3,0),0)</f>
        <v>0</v>
      </c>
      <c r="AV13" s="24">
        <f>IF(MOD(47,'Drivers &amp; Assumptions'!C26)=0,ROUND('Drivers &amp; Assumptions'!C27*(1+'Drivers &amp; Assumptions'!C28)^3,0),0)</f>
        <v>0</v>
      </c>
      <c r="AW13" s="24">
        <f>IF(MOD(48,'Drivers &amp; Assumptions'!C26)=0,ROUND('Drivers &amp; Assumptions'!C27*(1+'Drivers &amp; Assumptions'!C28)^3,0),0)</f>
        <v>10</v>
      </c>
      <c r="AX13" s="24">
        <f>IF(MOD(49,'Drivers &amp; Assumptions'!C26)=0,ROUND('Drivers &amp; Assumptions'!C27*(1+'Drivers &amp; Assumptions'!C28)^4,0),0)</f>
        <v>0</v>
      </c>
      <c r="AY13" s="24">
        <f>IF(MOD(50,'Drivers &amp; Assumptions'!C26)=0,ROUND('Drivers &amp; Assumptions'!C27*(1+'Drivers &amp; Assumptions'!C28)^4,0),0)</f>
        <v>0</v>
      </c>
      <c r="AZ13" s="24">
        <f>IF(MOD(51,'Drivers &amp; Assumptions'!C26)=0,ROUND('Drivers &amp; Assumptions'!C27*(1+'Drivers &amp; Assumptions'!C28)^4,0),0)</f>
        <v>12</v>
      </c>
      <c r="BA13" s="24">
        <f>IF(MOD(52,'Drivers &amp; Assumptions'!C26)=0,ROUND('Drivers &amp; Assumptions'!C27*(1+'Drivers &amp; Assumptions'!C28)^4,0),0)</f>
        <v>0</v>
      </c>
      <c r="BB13" s="24">
        <f>IF(MOD(53,'Drivers &amp; Assumptions'!C26)=0,ROUND('Drivers &amp; Assumptions'!C27*(1+'Drivers &amp; Assumptions'!C28)^4,0),0)</f>
        <v>0</v>
      </c>
      <c r="BC13" s="24">
        <f>IF(MOD(54,'Drivers &amp; Assumptions'!C26)=0,ROUND('Drivers &amp; Assumptions'!C27*(1+'Drivers &amp; Assumptions'!C28)^4,0),0)</f>
        <v>12</v>
      </c>
      <c r="BD13" s="24">
        <f>IF(MOD(55,'Drivers &amp; Assumptions'!C26)=0,ROUND('Drivers &amp; Assumptions'!C27*(1+'Drivers &amp; Assumptions'!C28)^4,0),0)</f>
        <v>0</v>
      </c>
      <c r="BE13" s="24">
        <f>IF(MOD(56,'Drivers &amp; Assumptions'!C26)=0,ROUND('Drivers &amp; Assumptions'!C27*(1+'Drivers &amp; Assumptions'!C28)^4,0),0)</f>
        <v>0</v>
      </c>
      <c r="BF13" s="24">
        <f>IF(MOD(57,'Drivers &amp; Assumptions'!C26)=0,ROUND('Drivers &amp; Assumptions'!C27*(1+'Drivers &amp; Assumptions'!C28)^4,0),0)</f>
        <v>12</v>
      </c>
      <c r="BG13" s="24">
        <f>IF(MOD(58,'Drivers &amp; Assumptions'!C26)=0,ROUND('Drivers &amp; Assumptions'!C27*(1+'Drivers &amp; Assumptions'!C28)^4,0),0)</f>
        <v>0</v>
      </c>
      <c r="BH13" s="24">
        <f>IF(MOD(59,'Drivers &amp; Assumptions'!C26)=0,ROUND('Drivers &amp; Assumptions'!C27*(1+'Drivers &amp; Assumptions'!C28)^4,0),0)</f>
        <v>0</v>
      </c>
      <c r="BI13" s="24">
        <f>IF(MOD(60,'Drivers &amp; Assumptions'!C26)=0,ROUND('Drivers &amp; Assumptions'!C27*(1+'Drivers &amp; Assumptions'!C28)^4,0),0)</f>
        <v>12</v>
      </c>
    </row>
    <row r="14" spans="1:61" ht="15" customHeight="1" x14ac:dyDescent="0.35">
      <c r="A14" s="7" t="s">
        <v>237</v>
      </c>
      <c r="B14" s="33">
        <v>0</v>
      </c>
      <c r="C14" s="33">
        <v>0</v>
      </c>
      <c r="D14" s="33">
        <v>0</v>
      </c>
      <c r="E14" s="33">
        <v>0</v>
      </c>
      <c r="F14" s="33">
        <v>0</v>
      </c>
      <c r="G14" s="33">
        <v>0</v>
      </c>
      <c r="H14" s="33">
        <v>0</v>
      </c>
      <c r="I14" s="33">
        <v>0</v>
      </c>
      <c r="J14" s="24">
        <f>IF(MOD(9,'Drivers &amp; Assumptions'!C26)=0,ROUND('Drivers &amp; Assumptions'!C27*(1+'Drivers &amp; Assumptions'!C28)^0,0),0)</f>
        <v>5</v>
      </c>
      <c r="K14" s="24">
        <f>IF(MOD(10,'Drivers &amp; Assumptions'!C26)=0,ROUND('Drivers &amp; Assumptions'!C27*(1+'Drivers &amp; Assumptions'!C28)^0,0),0)</f>
        <v>0</v>
      </c>
      <c r="L14" s="24">
        <f>IF(MOD(11,'Drivers &amp; Assumptions'!C26)=0,ROUND('Drivers &amp; Assumptions'!C27*(1+'Drivers &amp; Assumptions'!C28)^0,0),0)</f>
        <v>0</v>
      </c>
      <c r="M14" s="24">
        <f>IF(MOD(12,'Drivers &amp; Assumptions'!C26)=0,ROUND('Drivers &amp; Assumptions'!C27*(1+'Drivers &amp; Assumptions'!C28)^0,0),0)</f>
        <v>5</v>
      </c>
      <c r="N14" s="24">
        <f>IF(MOD(13,'Drivers &amp; Assumptions'!C26)=0,ROUND('Drivers &amp; Assumptions'!C27*(1+'Drivers &amp; Assumptions'!C28)^1,0),0)</f>
        <v>0</v>
      </c>
      <c r="O14" s="24">
        <f>IF(MOD(14,'Drivers &amp; Assumptions'!C26)=0,ROUND('Drivers &amp; Assumptions'!C27*(1+'Drivers &amp; Assumptions'!C28)^1,0),0)</f>
        <v>0</v>
      </c>
      <c r="P14" s="24">
        <f>IF(MOD(15,'Drivers &amp; Assumptions'!C26)=0,ROUND('Drivers &amp; Assumptions'!C27*(1+'Drivers &amp; Assumptions'!C28)^1,0),0)</f>
        <v>6</v>
      </c>
      <c r="Q14" s="24">
        <f>IF(MOD(16,'Drivers &amp; Assumptions'!C26)=0,ROUND('Drivers &amp; Assumptions'!C27*(1+'Drivers &amp; Assumptions'!C28)^1,0),0)</f>
        <v>0</v>
      </c>
      <c r="R14" s="24">
        <f>IF(MOD(17,'Drivers &amp; Assumptions'!C26)=0,ROUND('Drivers &amp; Assumptions'!C27*(1+'Drivers &amp; Assumptions'!C28)^1,0),0)</f>
        <v>0</v>
      </c>
      <c r="S14" s="24">
        <f>IF(MOD(18,'Drivers &amp; Assumptions'!C26)=0,ROUND('Drivers &amp; Assumptions'!C27*(1+'Drivers &amp; Assumptions'!C28)^1,0),0)</f>
        <v>6</v>
      </c>
      <c r="T14" s="24">
        <f>IF(MOD(19,'Drivers &amp; Assumptions'!C26)=0,ROUND('Drivers &amp; Assumptions'!C27*(1+'Drivers &amp; Assumptions'!C28)^1,0),0)</f>
        <v>0</v>
      </c>
      <c r="U14" s="24">
        <f>IF(MOD(20,'Drivers &amp; Assumptions'!C26)=0,ROUND('Drivers &amp; Assumptions'!C27*(1+'Drivers &amp; Assumptions'!C28)^1,0),0)</f>
        <v>0</v>
      </c>
      <c r="V14" s="24">
        <f>IF(MOD(21,'Drivers &amp; Assumptions'!C26)=0,ROUND('Drivers &amp; Assumptions'!C27*(1+'Drivers &amp; Assumptions'!C28)^1,0),0)</f>
        <v>6</v>
      </c>
      <c r="W14" s="24">
        <f>IF(MOD(22,'Drivers &amp; Assumptions'!C26)=0,ROUND('Drivers &amp; Assumptions'!C27*(1+'Drivers &amp; Assumptions'!C28)^1,0),0)</f>
        <v>0</v>
      </c>
      <c r="X14" s="24">
        <f>IF(MOD(23,'Drivers &amp; Assumptions'!C26)=0,ROUND('Drivers &amp; Assumptions'!C27*(1+'Drivers &amp; Assumptions'!C28)^1,0),0)</f>
        <v>0</v>
      </c>
      <c r="Y14" s="24">
        <f>IF(MOD(24,'Drivers &amp; Assumptions'!C26)=0,ROUND('Drivers &amp; Assumptions'!C27*(1+'Drivers &amp; Assumptions'!C28)^1,0),0)</f>
        <v>6</v>
      </c>
      <c r="Z14" s="24">
        <f>IF(MOD(25,'Drivers &amp; Assumptions'!C26)=0,ROUND('Drivers &amp; Assumptions'!C27*(1+'Drivers &amp; Assumptions'!C28)^2,0),0)</f>
        <v>0</v>
      </c>
      <c r="AA14" s="24">
        <f>IF(MOD(26,'Drivers &amp; Assumptions'!C26)=0,ROUND('Drivers &amp; Assumptions'!C27*(1+'Drivers &amp; Assumptions'!C28)^2,0),0)</f>
        <v>0</v>
      </c>
      <c r="AB14" s="24">
        <f>IF(MOD(27,'Drivers &amp; Assumptions'!C26)=0,ROUND('Drivers &amp; Assumptions'!C27*(1+'Drivers &amp; Assumptions'!C28)^2,0),0)</f>
        <v>8</v>
      </c>
      <c r="AC14" s="24">
        <f>IF(MOD(28,'Drivers &amp; Assumptions'!C26)=0,ROUND('Drivers &amp; Assumptions'!C27*(1+'Drivers &amp; Assumptions'!C28)^2,0),0)</f>
        <v>0</v>
      </c>
      <c r="AD14" s="24">
        <f>IF(MOD(29,'Drivers &amp; Assumptions'!C26)=0,ROUND('Drivers &amp; Assumptions'!C27*(1+'Drivers &amp; Assumptions'!C28)^2,0),0)</f>
        <v>0</v>
      </c>
      <c r="AE14" s="24">
        <f>IF(MOD(30,'Drivers &amp; Assumptions'!C26)=0,ROUND('Drivers &amp; Assumptions'!C27*(1+'Drivers &amp; Assumptions'!C28)^2,0),0)</f>
        <v>8</v>
      </c>
      <c r="AF14" s="24">
        <f>IF(MOD(31,'Drivers &amp; Assumptions'!C26)=0,ROUND('Drivers &amp; Assumptions'!C27*(1+'Drivers &amp; Assumptions'!C28)^2,0),0)</f>
        <v>0</v>
      </c>
      <c r="AG14" s="24">
        <f>IF(MOD(32,'Drivers &amp; Assumptions'!C26)=0,ROUND('Drivers &amp; Assumptions'!C27*(1+'Drivers &amp; Assumptions'!C28)^2,0),0)</f>
        <v>0</v>
      </c>
      <c r="AH14" s="24">
        <f>IF(MOD(33,'Drivers &amp; Assumptions'!C26)=0,ROUND('Drivers &amp; Assumptions'!C27*(1+'Drivers &amp; Assumptions'!C28)^2,0),0)</f>
        <v>8</v>
      </c>
      <c r="AI14" s="24">
        <f>IF(MOD(34,'Drivers &amp; Assumptions'!C26)=0,ROUND('Drivers &amp; Assumptions'!C27*(1+'Drivers &amp; Assumptions'!C28)^2,0),0)</f>
        <v>0</v>
      </c>
      <c r="AJ14" s="24">
        <f>IF(MOD(35,'Drivers &amp; Assumptions'!C26)=0,ROUND('Drivers &amp; Assumptions'!C27*(1+'Drivers &amp; Assumptions'!C28)^2,0),0)</f>
        <v>0</v>
      </c>
      <c r="AK14" s="24">
        <f>IF(MOD(36,'Drivers &amp; Assumptions'!C26)=0,ROUND('Drivers &amp; Assumptions'!C27*(1+'Drivers &amp; Assumptions'!C28)^2,0),0)</f>
        <v>8</v>
      </c>
      <c r="AL14" s="24">
        <f>IF(MOD(37,'Drivers &amp; Assumptions'!C26)=0,ROUND('Drivers &amp; Assumptions'!C27*(1+'Drivers &amp; Assumptions'!C28)^3,0),0)</f>
        <v>0</v>
      </c>
      <c r="AM14" s="24">
        <f>IF(MOD(38,'Drivers &amp; Assumptions'!C26)=0,ROUND('Drivers &amp; Assumptions'!C27*(1+'Drivers &amp; Assumptions'!C28)^3,0),0)</f>
        <v>0</v>
      </c>
      <c r="AN14" s="24">
        <f>IF(MOD(39,'Drivers &amp; Assumptions'!C26)=0,ROUND('Drivers &amp; Assumptions'!C27*(1+'Drivers &amp; Assumptions'!C28)^3,0),0)</f>
        <v>10</v>
      </c>
      <c r="AO14" s="24">
        <f>IF(MOD(40,'Drivers &amp; Assumptions'!C26)=0,ROUND('Drivers &amp; Assumptions'!C27*(1+'Drivers &amp; Assumptions'!C28)^3,0),0)</f>
        <v>0</v>
      </c>
      <c r="AP14" s="24">
        <f>IF(MOD(41,'Drivers &amp; Assumptions'!C26)=0,ROUND('Drivers &amp; Assumptions'!C27*(1+'Drivers &amp; Assumptions'!C28)^3,0),0)</f>
        <v>0</v>
      </c>
      <c r="AQ14" s="24">
        <f>IF(MOD(42,'Drivers &amp; Assumptions'!C26)=0,ROUND('Drivers &amp; Assumptions'!C27*(1+'Drivers &amp; Assumptions'!C28)^3,0),0)</f>
        <v>10</v>
      </c>
      <c r="AR14" s="24">
        <f>IF(MOD(43,'Drivers &amp; Assumptions'!C26)=0,ROUND('Drivers &amp; Assumptions'!C27*(1+'Drivers &amp; Assumptions'!C28)^3,0),0)</f>
        <v>0</v>
      </c>
      <c r="AS14" s="24">
        <f>IF(MOD(44,'Drivers &amp; Assumptions'!C26)=0,ROUND('Drivers &amp; Assumptions'!C27*(1+'Drivers &amp; Assumptions'!C28)^3,0),0)</f>
        <v>0</v>
      </c>
      <c r="AT14" s="24">
        <f>IF(MOD(45,'Drivers &amp; Assumptions'!C26)=0,ROUND('Drivers &amp; Assumptions'!C27*(1+'Drivers &amp; Assumptions'!C28)^3,0),0)</f>
        <v>10</v>
      </c>
      <c r="AU14" s="24">
        <f>IF(MOD(46,'Drivers &amp; Assumptions'!C26)=0,ROUND('Drivers &amp; Assumptions'!C27*(1+'Drivers &amp; Assumptions'!C28)^3,0),0)</f>
        <v>0</v>
      </c>
      <c r="AV14" s="24">
        <f>IF(MOD(47,'Drivers &amp; Assumptions'!C26)=0,ROUND('Drivers &amp; Assumptions'!C27*(1+'Drivers &amp; Assumptions'!C28)^3,0),0)</f>
        <v>0</v>
      </c>
      <c r="AW14" s="24">
        <f>IF(MOD(48,'Drivers &amp; Assumptions'!C26)=0,ROUND('Drivers &amp; Assumptions'!C27*(1+'Drivers &amp; Assumptions'!C28)^3,0),0)</f>
        <v>10</v>
      </c>
      <c r="AX14" s="24">
        <f>IF(MOD(49,'Drivers &amp; Assumptions'!C26)=0,ROUND('Drivers &amp; Assumptions'!C27*(1+'Drivers &amp; Assumptions'!C28)^4,0),0)</f>
        <v>0</v>
      </c>
      <c r="AY14" s="24">
        <f>IF(MOD(50,'Drivers &amp; Assumptions'!C26)=0,ROUND('Drivers &amp; Assumptions'!C27*(1+'Drivers &amp; Assumptions'!C28)^4,0),0)</f>
        <v>0</v>
      </c>
      <c r="AZ14" s="24">
        <f>IF(MOD(51,'Drivers &amp; Assumptions'!C26)=0,ROUND('Drivers &amp; Assumptions'!C27*(1+'Drivers &amp; Assumptions'!C28)^4,0),0)</f>
        <v>12</v>
      </c>
      <c r="BA14" s="24">
        <f>IF(MOD(52,'Drivers &amp; Assumptions'!C26)=0,ROUND('Drivers &amp; Assumptions'!C27*(1+'Drivers &amp; Assumptions'!C28)^4,0),0)</f>
        <v>0</v>
      </c>
      <c r="BB14" s="24">
        <f>IF(MOD(53,'Drivers &amp; Assumptions'!C26)=0,ROUND('Drivers &amp; Assumptions'!C27*(1+'Drivers &amp; Assumptions'!C28)^4,0),0)</f>
        <v>0</v>
      </c>
      <c r="BC14" s="24">
        <f>IF(MOD(54,'Drivers &amp; Assumptions'!C26)=0,ROUND('Drivers &amp; Assumptions'!C27*(1+'Drivers &amp; Assumptions'!C28)^4,0),0)</f>
        <v>12</v>
      </c>
      <c r="BD14" s="24">
        <f>IF(MOD(55,'Drivers &amp; Assumptions'!C26)=0,ROUND('Drivers &amp; Assumptions'!C27*(1+'Drivers &amp; Assumptions'!C28)^4,0),0)</f>
        <v>0</v>
      </c>
      <c r="BE14" s="24">
        <f>IF(MOD(56,'Drivers &amp; Assumptions'!C26)=0,ROUND('Drivers &amp; Assumptions'!C27*(1+'Drivers &amp; Assumptions'!C28)^4,0),0)</f>
        <v>0</v>
      </c>
      <c r="BF14" s="24">
        <f>IF(MOD(57,'Drivers &amp; Assumptions'!C26)=0,ROUND('Drivers &amp; Assumptions'!C27*(1+'Drivers &amp; Assumptions'!C28)^4,0),0)</f>
        <v>12</v>
      </c>
      <c r="BG14" s="24">
        <f>IF(MOD(58,'Drivers &amp; Assumptions'!C26)=0,ROUND('Drivers &amp; Assumptions'!C27*(1+'Drivers &amp; Assumptions'!C28)^4,0),0)</f>
        <v>0</v>
      </c>
      <c r="BH14" s="24">
        <f>IF(MOD(59,'Drivers &amp; Assumptions'!C26)=0,ROUND('Drivers &amp; Assumptions'!C27*(1+'Drivers &amp; Assumptions'!C28)^4,0),0)</f>
        <v>0</v>
      </c>
      <c r="BI14" s="24">
        <f>IF(MOD(60,'Drivers &amp; Assumptions'!C26)=0,ROUND('Drivers &amp; Assumptions'!C27*(1+'Drivers &amp; Assumptions'!C28)^4,0),0)</f>
        <v>12</v>
      </c>
    </row>
    <row r="15" spans="1:61" ht="15" customHeight="1" x14ac:dyDescent="0.35">
      <c r="A15" s="7" t="s">
        <v>238</v>
      </c>
      <c r="B15" s="33">
        <v>0</v>
      </c>
      <c r="C15" s="33">
        <v>0</v>
      </c>
      <c r="D15" s="33">
        <v>0</v>
      </c>
      <c r="E15" s="33">
        <v>0</v>
      </c>
      <c r="F15" s="33">
        <v>0</v>
      </c>
      <c r="G15" s="33">
        <v>0</v>
      </c>
      <c r="H15" s="33">
        <v>0</v>
      </c>
      <c r="I15" s="33">
        <v>0</v>
      </c>
      <c r="J15" s="24">
        <f>IF(MOD(9,'Drivers &amp; Assumptions'!C26)=0,ROUND('Drivers &amp; Assumptions'!C27*(1+'Drivers &amp; Assumptions'!C28)^0,0),0)</f>
        <v>5</v>
      </c>
      <c r="K15" s="24">
        <f>IF(MOD(10,'Drivers &amp; Assumptions'!C26)=0,ROUND('Drivers &amp; Assumptions'!C27*(1+'Drivers &amp; Assumptions'!C28)^0,0),0)</f>
        <v>0</v>
      </c>
      <c r="L15" s="24">
        <f>IF(MOD(11,'Drivers &amp; Assumptions'!C26)=0,ROUND('Drivers &amp; Assumptions'!C27*(1+'Drivers &amp; Assumptions'!C28)^0,0),0)</f>
        <v>0</v>
      </c>
      <c r="M15" s="24">
        <f>IF(MOD(12,'Drivers &amp; Assumptions'!C26)=0,ROUND('Drivers &amp; Assumptions'!C27*(1+'Drivers &amp; Assumptions'!C28)^0,0),0)</f>
        <v>5</v>
      </c>
      <c r="N15" s="24">
        <f>IF(MOD(13,'Drivers &amp; Assumptions'!C26)=0,ROUND('Drivers &amp; Assumptions'!C27*(1+'Drivers &amp; Assumptions'!C28)^1,0),0)</f>
        <v>0</v>
      </c>
      <c r="O15" s="24">
        <f>IF(MOD(14,'Drivers &amp; Assumptions'!C26)=0,ROUND('Drivers &amp; Assumptions'!C27*(1+'Drivers &amp; Assumptions'!C28)^1,0),0)</f>
        <v>0</v>
      </c>
      <c r="P15" s="24">
        <f>IF(MOD(15,'Drivers &amp; Assumptions'!C26)=0,ROUND('Drivers &amp; Assumptions'!C27*(1+'Drivers &amp; Assumptions'!C28)^1,0),0)</f>
        <v>6</v>
      </c>
      <c r="Q15" s="24">
        <f>IF(MOD(16,'Drivers &amp; Assumptions'!C26)=0,ROUND('Drivers &amp; Assumptions'!C27*(1+'Drivers &amp; Assumptions'!C28)^1,0),0)</f>
        <v>0</v>
      </c>
      <c r="R15" s="24">
        <f>IF(MOD(17,'Drivers &amp; Assumptions'!C26)=0,ROUND('Drivers &amp; Assumptions'!C27*(1+'Drivers &amp; Assumptions'!C28)^1,0),0)</f>
        <v>0</v>
      </c>
      <c r="S15" s="24">
        <f>IF(MOD(18,'Drivers &amp; Assumptions'!C26)=0,ROUND('Drivers &amp; Assumptions'!C27*(1+'Drivers &amp; Assumptions'!C28)^1,0),0)</f>
        <v>6</v>
      </c>
      <c r="T15" s="24">
        <f>IF(MOD(19,'Drivers &amp; Assumptions'!C26)=0,ROUND('Drivers &amp; Assumptions'!C27*(1+'Drivers &amp; Assumptions'!C28)^1,0),0)</f>
        <v>0</v>
      </c>
      <c r="U15" s="24">
        <f>IF(MOD(20,'Drivers &amp; Assumptions'!C26)=0,ROUND('Drivers &amp; Assumptions'!C27*(1+'Drivers &amp; Assumptions'!C28)^1,0),0)</f>
        <v>0</v>
      </c>
      <c r="V15" s="24">
        <f>IF(MOD(21,'Drivers &amp; Assumptions'!C26)=0,ROUND('Drivers &amp; Assumptions'!C27*(1+'Drivers &amp; Assumptions'!C28)^1,0),0)</f>
        <v>6</v>
      </c>
      <c r="W15" s="24">
        <f>IF(MOD(22,'Drivers &amp; Assumptions'!C26)=0,ROUND('Drivers &amp; Assumptions'!C27*(1+'Drivers &amp; Assumptions'!C28)^1,0),0)</f>
        <v>0</v>
      </c>
      <c r="X15" s="24">
        <f>IF(MOD(23,'Drivers &amp; Assumptions'!C26)=0,ROUND('Drivers &amp; Assumptions'!C27*(1+'Drivers &amp; Assumptions'!C28)^1,0),0)</f>
        <v>0</v>
      </c>
      <c r="Y15" s="24">
        <f>IF(MOD(24,'Drivers &amp; Assumptions'!C26)=0,ROUND('Drivers &amp; Assumptions'!C27*(1+'Drivers &amp; Assumptions'!C28)^1,0),0)</f>
        <v>6</v>
      </c>
      <c r="Z15" s="24">
        <f>IF(MOD(25,'Drivers &amp; Assumptions'!C26)=0,ROUND('Drivers &amp; Assumptions'!C27*(1+'Drivers &amp; Assumptions'!C28)^2,0),0)</f>
        <v>0</v>
      </c>
      <c r="AA15" s="24">
        <f>IF(MOD(26,'Drivers &amp; Assumptions'!C26)=0,ROUND('Drivers &amp; Assumptions'!C27*(1+'Drivers &amp; Assumptions'!C28)^2,0),0)</f>
        <v>0</v>
      </c>
      <c r="AB15" s="24">
        <f>IF(MOD(27,'Drivers &amp; Assumptions'!C26)=0,ROUND('Drivers &amp; Assumptions'!C27*(1+'Drivers &amp; Assumptions'!C28)^2,0),0)</f>
        <v>8</v>
      </c>
      <c r="AC15" s="24">
        <f>IF(MOD(28,'Drivers &amp; Assumptions'!C26)=0,ROUND('Drivers &amp; Assumptions'!C27*(1+'Drivers &amp; Assumptions'!C28)^2,0),0)</f>
        <v>0</v>
      </c>
      <c r="AD15" s="24">
        <f>IF(MOD(29,'Drivers &amp; Assumptions'!C26)=0,ROUND('Drivers &amp; Assumptions'!C27*(1+'Drivers &amp; Assumptions'!C28)^2,0),0)</f>
        <v>0</v>
      </c>
      <c r="AE15" s="24">
        <f>IF(MOD(30,'Drivers &amp; Assumptions'!C26)=0,ROUND('Drivers &amp; Assumptions'!C27*(1+'Drivers &amp; Assumptions'!C28)^2,0),0)</f>
        <v>8</v>
      </c>
      <c r="AF15" s="24">
        <f>IF(MOD(31,'Drivers &amp; Assumptions'!C26)=0,ROUND('Drivers &amp; Assumptions'!C27*(1+'Drivers &amp; Assumptions'!C28)^2,0),0)</f>
        <v>0</v>
      </c>
      <c r="AG15" s="24">
        <f>IF(MOD(32,'Drivers &amp; Assumptions'!C26)=0,ROUND('Drivers &amp; Assumptions'!C27*(1+'Drivers &amp; Assumptions'!C28)^2,0),0)</f>
        <v>0</v>
      </c>
      <c r="AH15" s="24">
        <f>IF(MOD(33,'Drivers &amp; Assumptions'!C26)=0,ROUND('Drivers &amp; Assumptions'!C27*(1+'Drivers &amp; Assumptions'!C28)^2,0),0)</f>
        <v>8</v>
      </c>
      <c r="AI15" s="24">
        <f>IF(MOD(34,'Drivers &amp; Assumptions'!C26)=0,ROUND('Drivers &amp; Assumptions'!C27*(1+'Drivers &amp; Assumptions'!C28)^2,0),0)</f>
        <v>0</v>
      </c>
      <c r="AJ15" s="24">
        <f>IF(MOD(35,'Drivers &amp; Assumptions'!C26)=0,ROUND('Drivers &amp; Assumptions'!C27*(1+'Drivers &amp; Assumptions'!C28)^2,0),0)</f>
        <v>0</v>
      </c>
      <c r="AK15" s="24">
        <f>IF(MOD(36,'Drivers &amp; Assumptions'!C26)=0,ROUND('Drivers &amp; Assumptions'!C27*(1+'Drivers &amp; Assumptions'!C28)^2,0),0)</f>
        <v>8</v>
      </c>
      <c r="AL15" s="24">
        <f>IF(MOD(37,'Drivers &amp; Assumptions'!C26)=0,ROUND('Drivers &amp; Assumptions'!C27*(1+'Drivers &amp; Assumptions'!C28)^3,0),0)</f>
        <v>0</v>
      </c>
      <c r="AM15" s="24">
        <f>IF(MOD(38,'Drivers &amp; Assumptions'!C26)=0,ROUND('Drivers &amp; Assumptions'!C27*(1+'Drivers &amp; Assumptions'!C28)^3,0),0)</f>
        <v>0</v>
      </c>
      <c r="AN15" s="24">
        <f>IF(MOD(39,'Drivers &amp; Assumptions'!C26)=0,ROUND('Drivers &amp; Assumptions'!C27*(1+'Drivers &amp; Assumptions'!C28)^3,0),0)</f>
        <v>10</v>
      </c>
      <c r="AO15" s="24">
        <f>IF(MOD(40,'Drivers &amp; Assumptions'!C26)=0,ROUND('Drivers &amp; Assumptions'!C27*(1+'Drivers &amp; Assumptions'!C28)^3,0),0)</f>
        <v>0</v>
      </c>
      <c r="AP15" s="24">
        <f>IF(MOD(41,'Drivers &amp; Assumptions'!C26)=0,ROUND('Drivers &amp; Assumptions'!C27*(1+'Drivers &amp; Assumptions'!C28)^3,0),0)</f>
        <v>0</v>
      </c>
      <c r="AQ15" s="24">
        <f>IF(MOD(42,'Drivers &amp; Assumptions'!C26)=0,ROUND('Drivers &amp; Assumptions'!C27*(1+'Drivers &amp; Assumptions'!C28)^3,0),0)</f>
        <v>10</v>
      </c>
      <c r="AR15" s="24">
        <f>IF(MOD(43,'Drivers &amp; Assumptions'!C26)=0,ROUND('Drivers &amp; Assumptions'!C27*(1+'Drivers &amp; Assumptions'!C28)^3,0),0)</f>
        <v>0</v>
      </c>
      <c r="AS15" s="24">
        <f>IF(MOD(44,'Drivers &amp; Assumptions'!C26)=0,ROUND('Drivers &amp; Assumptions'!C27*(1+'Drivers &amp; Assumptions'!C28)^3,0),0)</f>
        <v>0</v>
      </c>
      <c r="AT15" s="24">
        <f>IF(MOD(45,'Drivers &amp; Assumptions'!C26)=0,ROUND('Drivers &amp; Assumptions'!C27*(1+'Drivers &amp; Assumptions'!C28)^3,0),0)</f>
        <v>10</v>
      </c>
      <c r="AU15" s="24">
        <f>IF(MOD(46,'Drivers &amp; Assumptions'!C26)=0,ROUND('Drivers &amp; Assumptions'!C27*(1+'Drivers &amp; Assumptions'!C28)^3,0),0)</f>
        <v>0</v>
      </c>
      <c r="AV15" s="24">
        <f>IF(MOD(47,'Drivers &amp; Assumptions'!C26)=0,ROUND('Drivers &amp; Assumptions'!C27*(1+'Drivers &amp; Assumptions'!C28)^3,0),0)</f>
        <v>0</v>
      </c>
      <c r="AW15" s="24">
        <f>IF(MOD(48,'Drivers &amp; Assumptions'!C26)=0,ROUND('Drivers &amp; Assumptions'!C27*(1+'Drivers &amp; Assumptions'!C28)^3,0),0)</f>
        <v>10</v>
      </c>
      <c r="AX15" s="24">
        <f>IF(MOD(49,'Drivers &amp; Assumptions'!C26)=0,ROUND('Drivers &amp; Assumptions'!C27*(1+'Drivers &amp; Assumptions'!C28)^4,0),0)</f>
        <v>0</v>
      </c>
      <c r="AY15" s="24">
        <f>IF(MOD(50,'Drivers &amp; Assumptions'!C26)=0,ROUND('Drivers &amp; Assumptions'!C27*(1+'Drivers &amp; Assumptions'!C28)^4,0),0)</f>
        <v>0</v>
      </c>
      <c r="AZ15" s="24">
        <f>IF(MOD(51,'Drivers &amp; Assumptions'!C26)=0,ROUND('Drivers &amp; Assumptions'!C27*(1+'Drivers &amp; Assumptions'!C28)^4,0),0)</f>
        <v>12</v>
      </c>
      <c r="BA15" s="24">
        <f>IF(MOD(52,'Drivers &amp; Assumptions'!C26)=0,ROUND('Drivers &amp; Assumptions'!C27*(1+'Drivers &amp; Assumptions'!C28)^4,0),0)</f>
        <v>0</v>
      </c>
      <c r="BB15" s="24">
        <f>IF(MOD(53,'Drivers &amp; Assumptions'!C26)=0,ROUND('Drivers &amp; Assumptions'!C27*(1+'Drivers &amp; Assumptions'!C28)^4,0),0)</f>
        <v>0</v>
      </c>
      <c r="BC15" s="24">
        <f>IF(MOD(54,'Drivers &amp; Assumptions'!C26)=0,ROUND('Drivers &amp; Assumptions'!C27*(1+'Drivers &amp; Assumptions'!C28)^4,0),0)</f>
        <v>12</v>
      </c>
      <c r="BD15" s="24">
        <f>IF(MOD(55,'Drivers &amp; Assumptions'!C26)=0,ROUND('Drivers &amp; Assumptions'!C27*(1+'Drivers &amp; Assumptions'!C28)^4,0),0)</f>
        <v>0</v>
      </c>
      <c r="BE15" s="24">
        <f>IF(MOD(56,'Drivers &amp; Assumptions'!C26)=0,ROUND('Drivers &amp; Assumptions'!C27*(1+'Drivers &amp; Assumptions'!C28)^4,0),0)</f>
        <v>0</v>
      </c>
      <c r="BF15" s="24">
        <f>IF(MOD(57,'Drivers &amp; Assumptions'!C26)=0,ROUND('Drivers &amp; Assumptions'!C27*(1+'Drivers &amp; Assumptions'!C28)^4,0),0)</f>
        <v>12</v>
      </c>
      <c r="BG15" s="24">
        <f>IF(MOD(58,'Drivers &amp; Assumptions'!C26)=0,ROUND('Drivers &amp; Assumptions'!C27*(1+'Drivers &amp; Assumptions'!C28)^4,0),0)</f>
        <v>0</v>
      </c>
      <c r="BH15" s="24">
        <f>IF(MOD(59,'Drivers &amp; Assumptions'!C26)=0,ROUND('Drivers &amp; Assumptions'!C27*(1+'Drivers &amp; Assumptions'!C28)^4,0),0)</f>
        <v>0</v>
      </c>
      <c r="BI15" s="24">
        <f>IF(MOD(60,'Drivers &amp; Assumptions'!C26)=0,ROUND('Drivers &amp; Assumptions'!C27*(1+'Drivers &amp; Assumptions'!C28)^4,0),0)</f>
        <v>12</v>
      </c>
    </row>
    <row r="16" spans="1:61" ht="15" customHeight="1" x14ac:dyDescent="0.35">
      <c r="A16" s="7" t="s">
        <v>239</v>
      </c>
      <c r="B16" s="33">
        <v>0</v>
      </c>
      <c r="C16" s="33">
        <v>0</v>
      </c>
      <c r="D16" s="33">
        <v>0</v>
      </c>
      <c r="E16" s="33">
        <v>0</v>
      </c>
      <c r="F16" s="33">
        <v>0</v>
      </c>
      <c r="G16" s="33">
        <v>0</v>
      </c>
      <c r="H16" s="33">
        <v>0</v>
      </c>
      <c r="I16" s="33">
        <v>0</v>
      </c>
      <c r="J16" s="24">
        <f>IF(MOD(9,'Drivers &amp; Assumptions'!C26)=0,ROUND('Drivers &amp; Assumptions'!C27*(1+'Drivers &amp; Assumptions'!C28)^0,0),0)</f>
        <v>5</v>
      </c>
      <c r="K16" s="24">
        <f>IF(MOD(10,'Drivers &amp; Assumptions'!C26)=0,ROUND('Drivers &amp; Assumptions'!C27*(1+'Drivers &amp; Assumptions'!C28)^0,0),0)</f>
        <v>0</v>
      </c>
      <c r="L16" s="24">
        <f>IF(MOD(11,'Drivers &amp; Assumptions'!C26)=0,ROUND('Drivers &amp; Assumptions'!C27*(1+'Drivers &amp; Assumptions'!C28)^0,0),0)</f>
        <v>0</v>
      </c>
      <c r="M16" s="24">
        <f>IF(MOD(12,'Drivers &amp; Assumptions'!C26)=0,ROUND('Drivers &amp; Assumptions'!C27*(1+'Drivers &amp; Assumptions'!C28)^0,0),0)</f>
        <v>5</v>
      </c>
      <c r="N16" s="24">
        <f>IF(MOD(13,'Drivers &amp; Assumptions'!C26)=0,ROUND('Drivers &amp; Assumptions'!C27*(1+'Drivers &amp; Assumptions'!C28)^1,0),0)</f>
        <v>0</v>
      </c>
      <c r="O16" s="24">
        <f>IF(MOD(14,'Drivers &amp; Assumptions'!C26)=0,ROUND('Drivers &amp; Assumptions'!C27*(1+'Drivers &amp; Assumptions'!C28)^1,0),0)</f>
        <v>0</v>
      </c>
      <c r="P16" s="24">
        <f>IF(MOD(15,'Drivers &amp; Assumptions'!C26)=0,ROUND('Drivers &amp; Assumptions'!C27*(1+'Drivers &amp; Assumptions'!C28)^1,0),0)</f>
        <v>6</v>
      </c>
      <c r="Q16" s="24">
        <f>IF(MOD(16,'Drivers &amp; Assumptions'!C26)=0,ROUND('Drivers &amp; Assumptions'!C27*(1+'Drivers &amp; Assumptions'!C28)^1,0),0)</f>
        <v>0</v>
      </c>
      <c r="R16" s="24">
        <f>IF(MOD(17,'Drivers &amp; Assumptions'!C26)=0,ROUND('Drivers &amp; Assumptions'!C27*(1+'Drivers &amp; Assumptions'!C28)^1,0),0)</f>
        <v>0</v>
      </c>
      <c r="S16" s="24">
        <f>IF(MOD(18,'Drivers &amp; Assumptions'!C26)=0,ROUND('Drivers &amp; Assumptions'!C27*(1+'Drivers &amp; Assumptions'!C28)^1,0),0)</f>
        <v>6</v>
      </c>
      <c r="T16" s="24">
        <f>IF(MOD(19,'Drivers &amp; Assumptions'!C26)=0,ROUND('Drivers &amp; Assumptions'!C27*(1+'Drivers &amp; Assumptions'!C28)^1,0),0)</f>
        <v>0</v>
      </c>
      <c r="U16" s="24">
        <f>IF(MOD(20,'Drivers &amp; Assumptions'!C26)=0,ROUND('Drivers &amp; Assumptions'!C27*(1+'Drivers &amp; Assumptions'!C28)^1,0),0)</f>
        <v>0</v>
      </c>
      <c r="V16" s="24">
        <f>IF(MOD(21,'Drivers &amp; Assumptions'!C26)=0,ROUND('Drivers &amp; Assumptions'!C27*(1+'Drivers &amp; Assumptions'!C28)^1,0),0)</f>
        <v>6</v>
      </c>
      <c r="W16" s="24">
        <f>IF(MOD(22,'Drivers &amp; Assumptions'!C26)=0,ROUND('Drivers &amp; Assumptions'!C27*(1+'Drivers &amp; Assumptions'!C28)^1,0),0)</f>
        <v>0</v>
      </c>
      <c r="X16" s="24">
        <f>IF(MOD(23,'Drivers &amp; Assumptions'!C26)=0,ROUND('Drivers &amp; Assumptions'!C27*(1+'Drivers &amp; Assumptions'!C28)^1,0),0)</f>
        <v>0</v>
      </c>
      <c r="Y16" s="24">
        <f>IF(MOD(24,'Drivers &amp; Assumptions'!C26)=0,ROUND('Drivers &amp; Assumptions'!C27*(1+'Drivers &amp; Assumptions'!C28)^1,0),0)</f>
        <v>6</v>
      </c>
      <c r="Z16" s="24">
        <f>IF(MOD(25,'Drivers &amp; Assumptions'!C26)=0,ROUND('Drivers &amp; Assumptions'!C27*(1+'Drivers &amp; Assumptions'!C28)^2,0),0)</f>
        <v>0</v>
      </c>
      <c r="AA16" s="24">
        <f>IF(MOD(26,'Drivers &amp; Assumptions'!C26)=0,ROUND('Drivers &amp; Assumptions'!C27*(1+'Drivers &amp; Assumptions'!C28)^2,0),0)</f>
        <v>0</v>
      </c>
      <c r="AB16" s="24">
        <f>IF(MOD(27,'Drivers &amp; Assumptions'!C26)=0,ROUND('Drivers &amp; Assumptions'!C27*(1+'Drivers &amp; Assumptions'!C28)^2,0),0)</f>
        <v>8</v>
      </c>
      <c r="AC16" s="24">
        <f>IF(MOD(28,'Drivers &amp; Assumptions'!C26)=0,ROUND('Drivers &amp; Assumptions'!C27*(1+'Drivers &amp; Assumptions'!C28)^2,0),0)</f>
        <v>0</v>
      </c>
      <c r="AD16" s="24">
        <f>IF(MOD(29,'Drivers &amp; Assumptions'!C26)=0,ROUND('Drivers &amp; Assumptions'!C27*(1+'Drivers &amp; Assumptions'!C28)^2,0),0)</f>
        <v>0</v>
      </c>
      <c r="AE16" s="24">
        <f>IF(MOD(30,'Drivers &amp; Assumptions'!C26)=0,ROUND('Drivers &amp; Assumptions'!C27*(1+'Drivers &amp; Assumptions'!C28)^2,0),0)</f>
        <v>8</v>
      </c>
      <c r="AF16" s="24">
        <f>IF(MOD(31,'Drivers &amp; Assumptions'!C26)=0,ROUND('Drivers &amp; Assumptions'!C27*(1+'Drivers &amp; Assumptions'!C28)^2,0),0)</f>
        <v>0</v>
      </c>
      <c r="AG16" s="24">
        <f>IF(MOD(32,'Drivers &amp; Assumptions'!C26)=0,ROUND('Drivers &amp; Assumptions'!C27*(1+'Drivers &amp; Assumptions'!C28)^2,0),0)</f>
        <v>0</v>
      </c>
      <c r="AH16" s="24">
        <f>IF(MOD(33,'Drivers &amp; Assumptions'!C26)=0,ROUND('Drivers &amp; Assumptions'!C27*(1+'Drivers &amp; Assumptions'!C28)^2,0),0)</f>
        <v>8</v>
      </c>
      <c r="AI16" s="24">
        <f>IF(MOD(34,'Drivers &amp; Assumptions'!C26)=0,ROUND('Drivers &amp; Assumptions'!C27*(1+'Drivers &amp; Assumptions'!C28)^2,0),0)</f>
        <v>0</v>
      </c>
      <c r="AJ16" s="24">
        <f>IF(MOD(35,'Drivers &amp; Assumptions'!C26)=0,ROUND('Drivers &amp; Assumptions'!C27*(1+'Drivers &amp; Assumptions'!C28)^2,0),0)</f>
        <v>0</v>
      </c>
      <c r="AK16" s="24">
        <f>IF(MOD(36,'Drivers &amp; Assumptions'!C26)=0,ROUND('Drivers &amp; Assumptions'!C27*(1+'Drivers &amp; Assumptions'!C28)^2,0),0)</f>
        <v>8</v>
      </c>
      <c r="AL16" s="24">
        <f>IF(MOD(37,'Drivers &amp; Assumptions'!C26)=0,ROUND('Drivers &amp; Assumptions'!C27*(1+'Drivers &amp; Assumptions'!C28)^3,0),0)</f>
        <v>0</v>
      </c>
      <c r="AM16" s="24">
        <f>IF(MOD(38,'Drivers &amp; Assumptions'!C26)=0,ROUND('Drivers &amp; Assumptions'!C27*(1+'Drivers &amp; Assumptions'!C28)^3,0),0)</f>
        <v>0</v>
      </c>
      <c r="AN16" s="24">
        <f>IF(MOD(39,'Drivers &amp; Assumptions'!C26)=0,ROUND('Drivers &amp; Assumptions'!C27*(1+'Drivers &amp; Assumptions'!C28)^3,0),0)</f>
        <v>10</v>
      </c>
      <c r="AO16" s="24">
        <f>IF(MOD(40,'Drivers &amp; Assumptions'!C26)=0,ROUND('Drivers &amp; Assumptions'!C27*(1+'Drivers &amp; Assumptions'!C28)^3,0),0)</f>
        <v>0</v>
      </c>
      <c r="AP16" s="24">
        <f>IF(MOD(41,'Drivers &amp; Assumptions'!C26)=0,ROUND('Drivers &amp; Assumptions'!C27*(1+'Drivers &amp; Assumptions'!C28)^3,0),0)</f>
        <v>0</v>
      </c>
      <c r="AQ16" s="24">
        <f>IF(MOD(42,'Drivers &amp; Assumptions'!C26)=0,ROUND('Drivers &amp; Assumptions'!C27*(1+'Drivers &amp; Assumptions'!C28)^3,0),0)</f>
        <v>10</v>
      </c>
      <c r="AR16" s="24">
        <f>IF(MOD(43,'Drivers &amp; Assumptions'!C26)=0,ROUND('Drivers &amp; Assumptions'!C27*(1+'Drivers &amp; Assumptions'!C28)^3,0),0)</f>
        <v>0</v>
      </c>
      <c r="AS16" s="24">
        <f>IF(MOD(44,'Drivers &amp; Assumptions'!C26)=0,ROUND('Drivers &amp; Assumptions'!C27*(1+'Drivers &amp; Assumptions'!C28)^3,0),0)</f>
        <v>0</v>
      </c>
      <c r="AT16" s="24">
        <f>IF(MOD(45,'Drivers &amp; Assumptions'!C26)=0,ROUND('Drivers &amp; Assumptions'!C27*(1+'Drivers &amp; Assumptions'!C28)^3,0),0)</f>
        <v>10</v>
      </c>
      <c r="AU16" s="24">
        <f>IF(MOD(46,'Drivers &amp; Assumptions'!C26)=0,ROUND('Drivers &amp; Assumptions'!C27*(1+'Drivers &amp; Assumptions'!C28)^3,0),0)</f>
        <v>0</v>
      </c>
      <c r="AV16" s="24">
        <f>IF(MOD(47,'Drivers &amp; Assumptions'!C26)=0,ROUND('Drivers &amp; Assumptions'!C27*(1+'Drivers &amp; Assumptions'!C28)^3,0),0)</f>
        <v>0</v>
      </c>
      <c r="AW16" s="24">
        <f>IF(MOD(48,'Drivers &amp; Assumptions'!C26)=0,ROUND('Drivers &amp; Assumptions'!C27*(1+'Drivers &amp; Assumptions'!C28)^3,0),0)</f>
        <v>10</v>
      </c>
      <c r="AX16" s="24">
        <f>IF(MOD(49,'Drivers &amp; Assumptions'!C26)=0,ROUND('Drivers &amp; Assumptions'!C27*(1+'Drivers &amp; Assumptions'!C28)^4,0),0)</f>
        <v>0</v>
      </c>
      <c r="AY16" s="24">
        <f>IF(MOD(50,'Drivers &amp; Assumptions'!C26)=0,ROUND('Drivers &amp; Assumptions'!C27*(1+'Drivers &amp; Assumptions'!C28)^4,0),0)</f>
        <v>0</v>
      </c>
      <c r="AZ16" s="24">
        <f>IF(MOD(51,'Drivers &amp; Assumptions'!C26)=0,ROUND('Drivers &amp; Assumptions'!C27*(1+'Drivers &amp; Assumptions'!C28)^4,0),0)</f>
        <v>12</v>
      </c>
      <c r="BA16" s="24">
        <f>IF(MOD(52,'Drivers &amp; Assumptions'!C26)=0,ROUND('Drivers &amp; Assumptions'!C27*(1+'Drivers &amp; Assumptions'!C28)^4,0),0)</f>
        <v>0</v>
      </c>
      <c r="BB16" s="24">
        <f>IF(MOD(53,'Drivers &amp; Assumptions'!C26)=0,ROUND('Drivers &amp; Assumptions'!C27*(1+'Drivers &amp; Assumptions'!C28)^4,0),0)</f>
        <v>0</v>
      </c>
      <c r="BC16" s="24">
        <f>IF(MOD(54,'Drivers &amp; Assumptions'!C26)=0,ROUND('Drivers &amp; Assumptions'!C27*(1+'Drivers &amp; Assumptions'!C28)^4,0),0)</f>
        <v>12</v>
      </c>
      <c r="BD16" s="24">
        <f>IF(MOD(55,'Drivers &amp; Assumptions'!C26)=0,ROUND('Drivers &amp; Assumptions'!C27*(1+'Drivers &amp; Assumptions'!C28)^4,0),0)</f>
        <v>0</v>
      </c>
      <c r="BE16" s="24">
        <f>IF(MOD(56,'Drivers &amp; Assumptions'!C26)=0,ROUND('Drivers &amp; Assumptions'!C27*(1+'Drivers &amp; Assumptions'!C28)^4,0),0)</f>
        <v>0</v>
      </c>
      <c r="BF16" s="24">
        <f>IF(MOD(57,'Drivers &amp; Assumptions'!C26)=0,ROUND('Drivers &amp; Assumptions'!C27*(1+'Drivers &amp; Assumptions'!C28)^4,0),0)</f>
        <v>12</v>
      </c>
      <c r="BG16" s="24">
        <f>IF(MOD(58,'Drivers &amp; Assumptions'!C26)=0,ROUND('Drivers &amp; Assumptions'!C27*(1+'Drivers &amp; Assumptions'!C28)^4,0),0)</f>
        <v>0</v>
      </c>
      <c r="BH16" s="24">
        <f>IF(MOD(59,'Drivers &amp; Assumptions'!C26)=0,ROUND('Drivers &amp; Assumptions'!C27*(1+'Drivers &amp; Assumptions'!C28)^4,0),0)</f>
        <v>0</v>
      </c>
      <c r="BI16" s="24">
        <f>IF(MOD(60,'Drivers &amp; Assumptions'!C26)=0,ROUND('Drivers &amp; Assumptions'!C27*(1+'Drivers &amp; Assumptions'!C28)^4,0),0)</f>
        <v>12</v>
      </c>
    </row>
    <row r="17" spans="1:61" ht="15" customHeight="1" x14ac:dyDescent="0.35">
      <c r="A17" s="7" t="s">
        <v>240</v>
      </c>
      <c r="B17" s="33">
        <v>0</v>
      </c>
      <c r="C17" s="33">
        <v>0</v>
      </c>
      <c r="D17" s="33">
        <v>0</v>
      </c>
      <c r="E17" s="33">
        <v>0</v>
      </c>
      <c r="F17" s="33">
        <v>0</v>
      </c>
      <c r="G17" s="33">
        <v>0</v>
      </c>
      <c r="H17" s="33">
        <v>0</v>
      </c>
      <c r="I17" s="33">
        <v>0</v>
      </c>
      <c r="J17" s="24">
        <f>IF(MOD(9,'Drivers &amp; Assumptions'!C26)=0,ROUND('Drivers &amp; Assumptions'!C27*(1+'Drivers &amp; Assumptions'!C28)^0,0),0)</f>
        <v>5</v>
      </c>
      <c r="K17" s="24">
        <f>IF(MOD(10,'Drivers &amp; Assumptions'!C26)=0,ROUND('Drivers &amp; Assumptions'!C27*(1+'Drivers &amp; Assumptions'!C28)^0,0),0)</f>
        <v>0</v>
      </c>
      <c r="L17" s="24">
        <f>IF(MOD(11,'Drivers &amp; Assumptions'!C26)=0,ROUND('Drivers &amp; Assumptions'!C27*(1+'Drivers &amp; Assumptions'!C28)^0,0),0)</f>
        <v>0</v>
      </c>
      <c r="M17" s="24">
        <f>IF(MOD(12,'Drivers &amp; Assumptions'!C26)=0,ROUND('Drivers &amp; Assumptions'!C27*(1+'Drivers &amp; Assumptions'!C28)^0,0),0)</f>
        <v>5</v>
      </c>
      <c r="N17" s="24">
        <f>IF(MOD(13,'Drivers &amp; Assumptions'!C26)=0,ROUND('Drivers &amp; Assumptions'!C27*(1+'Drivers &amp; Assumptions'!C28)^1,0),0)</f>
        <v>0</v>
      </c>
      <c r="O17" s="24">
        <f>IF(MOD(14,'Drivers &amp; Assumptions'!C26)=0,ROUND('Drivers &amp; Assumptions'!C27*(1+'Drivers &amp; Assumptions'!C28)^1,0),0)</f>
        <v>0</v>
      </c>
      <c r="P17" s="24">
        <f>IF(MOD(15,'Drivers &amp; Assumptions'!C26)=0,ROUND('Drivers &amp; Assumptions'!C27*(1+'Drivers &amp; Assumptions'!C28)^1,0),0)</f>
        <v>6</v>
      </c>
      <c r="Q17" s="24">
        <f>IF(MOD(16,'Drivers &amp; Assumptions'!C26)=0,ROUND('Drivers &amp; Assumptions'!C27*(1+'Drivers &amp; Assumptions'!C28)^1,0),0)</f>
        <v>0</v>
      </c>
      <c r="R17" s="24">
        <f>IF(MOD(17,'Drivers &amp; Assumptions'!C26)=0,ROUND('Drivers &amp; Assumptions'!C27*(1+'Drivers &amp; Assumptions'!C28)^1,0),0)</f>
        <v>0</v>
      </c>
      <c r="S17" s="24">
        <f>IF(MOD(18,'Drivers &amp; Assumptions'!C26)=0,ROUND('Drivers &amp; Assumptions'!C27*(1+'Drivers &amp; Assumptions'!C28)^1,0),0)</f>
        <v>6</v>
      </c>
      <c r="T17" s="24">
        <f>IF(MOD(19,'Drivers &amp; Assumptions'!C26)=0,ROUND('Drivers &amp; Assumptions'!C27*(1+'Drivers &amp; Assumptions'!C28)^1,0),0)</f>
        <v>0</v>
      </c>
      <c r="U17" s="24">
        <f>IF(MOD(20,'Drivers &amp; Assumptions'!C26)=0,ROUND('Drivers &amp; Assumptions'!C27*(1+'Drivers &amp; Assumptions'!C28)^1,0),0)</f>
        <v>0</v>
      </c>
      <c r="V17" s="24">
        <f>IF(MOD(21,'Drivers &amp; Assumptions'!C26)=0,ROUND('Drivers &amp; Assumptions'!C27*(1+'Drivers &amp; Assumptions'!C28)^1,0),0)</f>
        <v>6</v>
      </c>
      <c r="W17" s="24">
        <f>IF(MOD(22,'Drivers &amp; Assumptions'!C26)=0,ROUND('Drivers &amp; Assumptions'!C27*(1+'Drivers &amp; Assumptions'!C28)^1,0),0)</f>
        <v>0</v>
      </c>
      <c r="X17" s="24">
        <f>IF(MOD(23,'Drivers &amp; Assumptions'!C26)=0,ROUND('Drivers &amp; Assumptions'!C27*(1+'Drivers &amp; Assumptions'!C28)^1,0),0)</f>
        <v>0</v>
      </c>
      <c r="Y17" s="24">
        <f>IF(MOD(24,'Drivers &amp; Assumptions'!C26)=0,ROUND('Drivers &amp; Assumptions'!C27*(1+'Drivers &amp; Assumptions'!C28)^1,0),0)</f>
        <v>6</v>
      </c>
      <c r="Z17" s="24">
        <f>IF(MOD(25,'Drivers &amp; Assumptions'!C26)=0,ROUND('Drivers &amp; Assumptions'!C27*(1+'Drivers &amp; Assumptions'!C28)^2,0),0)</f>
        <v>0</v>
      </c>
      <c r="AA17" s="24">
        <f>IF(MOD(26,'Drivers &amp; Assumptions'!C26)=0,ROUND('Drivers &amp; Assumptions'!C27*(1+'Drivers &amp; Assumptions'!C28)^2,0),0)</f>
        <v>0</v>
      </c>
      <c r="AB17" s="24">
        <f>IF(MOD(27,'Drivers &amp; Assumptions'!C26)=0,ROUND('Drivers &amp; Assumptions'!C27*(1+'Drivers &amp; Assumptions'!C28)^2,0),0)</f>
        <v>8</v>
      </c>
      <c r="AC17" s="24">
        <f>IF(MOD(28,'Drivers &amp; Assumptions'!C26)=0,ROUND('Drivers &amp; Assumptions'!C27*(1+'Drivers &amp; Assumptions'!C28)^2,0),0)</f>
        <v>0</v>
      </c>
      <c r="AD17" s="24">
        <f>IF(MOD(29,'Drivers &amp; Assumptions'!C26)=0,ROUND('Drivers &amp; Assumptions'!C27*(1+'Drivers &amp; Assumptions'!C28)^2,0),0)</f>
        <v>0</v>
      </c>
      <c r="AE17" s="24">
        <f>IF(MOD(30,'Drivers &amp; Assumptions'!C26)=0,ROUND('Drivers &amp; Assumptions'!C27*(1+'Drivers &amp; Assumptions'!C28)^2,0),0)</f>
        <v>8</v>
      </c>
      <c r="AF17" s="24">
        <f>IF(MOD(31,'Drivers &amp; Assumptions'!C26)=0,ROUND('Drivers &amp; Assumptions'!C27*(1+'Drivers &amp; Assumptions'!C28)^2,0),0)</f>
        <v>0</v>
      </c>
      <c r="AG17" s="24">
        <f>IF(MOD(32,'Drivers &amp; Assumptions'!C26)=0,ROUND('Drivers &amp; Assumptions'!C27*(1+'Drivers &amp; Assumptions'!C28)^2,0),0)</f>
        <v>0</v>
      </c>
      <c r="AH17" s="24">
        <f>IF(MOD(33,'Drivers &amp; Assumptions'!C26)=0,ROUND('Drivers &amp; Assumptions'!C27*(1+'Drivers &amp; Assumptions'!C28)^2,0),0)</f>
        <v>8</v>
      </c>
      <c r="AI17" s="24">
        <f>IF(MOD(34,'Drivers &amp; Assumptions'!C26)=0,ROUND('Drivers &amp; Assumptions'!C27*(1+'Drivers &amp; Assumptions'!C28)^2,0),0)</f>
        <v>0</v>
      </c>
      <c r="AJ17" s="24">
        <f>IF(MOD(35,'Drivers &amp; Assumptions'!C26)=0,ROUND('Drivers &amp; Assumptions'!C27*(1+'Drivers &amp; Assumptions'!C28)^2,0),0)</f>
        <v>0</v>
      </c>
      <c r="AK17" s="24">
        <f>IF(MOD(36,'Drivers &amp; Assumptions'!C26)=0,ROUND('Drivers &amp; Assumptions'!C27*(1+'Drivers &amp; Assumptions'!C28)^2,0),0)</f>
        <v>8</v>
      </c>
      <c r="AL17" s="24">
        <f>IF(MOD(37,'Drivers &amp; Assumptions'!C26)=0,ROUND('Drivers &amp; Assumptions'!C27*(1+'Drivers &amp; Assumptions'!C28)^3,0),0)</f>
        <v>0</v>
      </c>
      <c r="AM17" s="24">
        <f>IF(MOD(38,'Drivers &amp; Assumptions'!C26)=0,ROUND('Drivers &amp; Assumptions'!C27*(1+'Drivers &amp; Assumptions'!C28)^3,0),0)</f>
        <v>0</v>
      </c>
      <c r="AN17" s="24">
        <f>IF(MOD(39,'Drivers &amp; Assumptions'!C26)=0,ROUND('Drivers &amp; Assumptions'!C27*(1+'Drivers &amp; Assumptions'!C28)^3,0),0)</f>
        <v>10</v>
      </c>
      <c r="AO17" s="24">
        <f>IF(MOD(40,'Drivers &amp; Assumptions'!C26)=0,ROUND('Drivers &amp; Assumptions'!C27*(1+'Drivers &amp; Assumptions'!C28)^3,0),0)</f>
        <v>0</v>
      </c>
      <c r="AP17" s="24">
        <f>IF(MOD(41,'Drivers &amp; Assumptions'!C26)=0,ROUND('Drivers &amp; Assumptions'!C27*(1+'Drivers &amp; Assumptions'!C28)^3,0),0)</f>
        <v>0</v>
      </c>
      <c r="AQ17" s="24">
        <f>IF(MOD(42,'Drivers &amp; Assumptions'!C26)=0,ROUND('Drivers &amp; Assumptions'!C27*(1+'Drivers &amp; Assumptions'!C28)^3,0),0)</f>
        <v>10</v>
      </c>
      <c r="AR17" s="24">
        <f>IF(MOD(43,'Drivers &amp; Assumptions'!C26)=0,ROUND('Drivers &amp; Assumptions'!C27*(1+'Drivers &amp; Assumptions'!C28)^3,0),0)</f>
        <v>0</v>
      </c>
      <c r="AS17" s="24">
        <f>IF(MOD(44,'Drivers &amp; Assumptions'!C26)=0,ROUND('Drivers &amp; Assumptions'!C27*(1+'Drivers &amp; Assumptions'!C28)^3,0),0)</f>
        <v>0</v>
      </c>
      <c r="AT17" s="24">
        <f>IF(MOD(45,'Drivers &amp; Assumptions'!C26)=0,ROUND('Drivers &amp; Assumptions'!C27*(1+'Drivers &amp; Assumptions'!C28)^3,0),0)</f>
        <v>10</v>
      </c>
      <c r="AU17" s="24">
        <f>IF(MOD(46,'Drivers &amp; Assumptions'!C26)=0,ROUND('Drivers &amp; Assumptions'!C27*(1+'Drivers &amp; Assumptions'!C28)^3,0),0)</f>
        <v>0</v>
      </c>
      <c r="AV17" s="24">
        <f>IF(MOD(47,'Drivers &amp; Assumptions'!C26)=0,ROUND('Drivers &amp; Assumptions'!C27*(1+'Drivers &amp; Assumptions'!C28)^3,0),0)</f>
        <v>0</v>
      </c>
      <c r="AW17" s="24">
        <f>IF(MOD(48,'Drivers &amp; Assumptions'!C26)=0,ROUND('Drivers &amp; Assumptions'!C27*(1+'Drivers &amp; Assumptions'!C28)^3,0),0)</f>
        <v>10</v>
      </c>
      <c r="AX17" s="24">
        <f>IF(MOD(49,'Drivers &amp; Assumptions'!C26)=0,ROUND('Drivers &amp; Assumptions'!C27*(1+'Drivers &amp; Assumptions'!C28)^4,0),0)</f>
        <v>0</v>
      </c>
      <c r="AY17" s="24">
        <f>IF(MOD(50,'Drivers &amp; Assumptions'!C26)=0,ROUND('Drivers &amp; Assumptions'!C27*(1+'Drivers &amp; Assumptions'!C28)^4,0),0)</f>
        <v>0</v>
      </c>
      <c r="AZ17" s="24">
        <f>IF(MOD(51,'Drivers &amp; Assumptions'!C26)=0,ROUND('Drivers &amp; Assumptions'!C27*(1+'Drivers &amp; Assumptions'!C28)^4,0),0)</f>
        <v>12</v>
      </c>
      <c r="BA17" s="24">
        <f>IF(MOD(52,'Drivers &amp; Assumptions'!C26)=0,ROUND('Drivers &amp; Assumptions'!C27*(1+'Drivers &amp; Assumptions'!C28)^4,0),0)</f>
        <v>0</v>
      </c>
      <c r="BB17" s="24">
        <f>IF(MOD(53,'Drivers &amp; Assumptions'!C26)=0,ROUND('Drivers &amp; Assumptions'!C27*(1+'Drivers &amp; Assumptions'!C28)^4,0),0)</f>
        <v>0</v>
      </c>
      <c r="BC17" s="24">
        <f>IF(MOD(54,'Drivers &amp; Assumptions'!C26)=0,ROUND('Drivers &amp; Assumptions'!C27*(1+'Drivers &amp; Assumptions'!C28)^4,0),0)</f>
        <v>12</v>
      </c>
      <c r="BD17" s="24">
        <f>IF(MOD(55,'Drivers &amp; Assumptions'!C26)=0,ROUND('Drivers &amp; Assumptions'!C27*(1+'Drivers &amp; Assumptions'!C28)^4,0),0)</f>
        <v>0</v>
      </c>
      <c r="BE17" s="24">
        <f>IF(MOD(56,'Drivers &amp; Assumptions'!C26)=0,ROUND('Drivers &amp; Assumptions'!C27*(1+'Drivers &amp; Assumptions'!C28)^4,0),0)</f>
        <v>0</v>
      </c>
      <c r="BF17" s="24">
        <f>IF(MOD(57,'Drivers &amp; Assumptions'!C26)=0,ROUND('Drivers &amp; Assumptions'!C27*(1+'Drivers &amp; Assumptions'!C28)^4,0),0)</f>
        <v>12</v>
      </c>
      <c r="BG17" s="24">
        <f>IF(MOD(58,'Drivers &amp; Assumptions'!C26)=0,ROUND('Drivers &amp; Assumptions'!C27*(1+'Drivers &amp; Assumptions'!C28)^4,0),0)</f>
        <v>0</v>
      </c>
      <c r="BH17" s="24">
        <f>IF(MOD(59,'Drivers &amp; Assumptions'!C26)=0,ROUND('Drivers &amp; Assumptions'!C27*(1+'Drivers &amp; Assumptions'!C28)^4,0),0)</f>
        <v>0</v>
      </c>
      <c r="BI17" s="24">
        <f>IF(MOD(60,'Drivers &amp; Assumptions'!C26)=0,ROUND('Drivers &amp; Assumptions'!C27*(1+'Drivers &amp; Assumptions'!C28)^4,0),0)</f>
        <v>12</v>
      </c>
    </row>
    <row r="18" spans="1:61" ht="15" customHeight="1" x14ac:dyDescent="0.35">
      <c r="A18" s="7" t="s">
        <v>241</v>
      </c>
      <c r="B18" s="33">
        <v>0</v>
      </c>
      <c r="C18" s="33">
        <v>0</v>
      </c>
      <c r="D18" s="33">
        <v>0</v>
      </c>
      <c r="E18" s="33">
        <v>0</v>
      </c>
      <c r="F18" s="33">
        <v>0</v>
      </c>
      <c r="G18" s="33">
        <v>0</v>
      </c>
      <c r="H18" s="33">
        <v>0</v>
      </c>
      <c r="I18" s="33">
        <v>0</v>
      </c>
      <c r="J18" s="24">
        <f>IF(MOD(9,'Drivers &amp; Assumptions'!C26)=0,ROUND('Drivers &amp; Assumptions'!C27*(1+'Drivers &amp; Assumptions'!C28)^0,0),0)</f>
        <v>5</v>
      </c>
      <c r="K18" s="24">
        <f>IF(MOD(10,'Drivers &amp; Assumptions'!C26)=0,ROUND('Drivers &amp; Assumptions'!C27*(1+'Drivers &amp; Assumptions'!C28)^0,0),0)</f>
        <v>0</v>
      </c>
      <c r="L18" s="24">
        <f>IF(MOD(11,'Drivers &amp; Assumptions'!C26)=0,ROUND('Drivers &amp; Assumptions'!C27*(1+'Drivers &amp; Assumptions'!C28)^0,0),0)</f>
        <v>0</v>
      </c>
      <c r="M18" s="24">
        <f>IF(MOD(12,'Drivers &amp; Assumptions'!C26)=0,ROUND('Drivers &amp; Assumptions'!C27*(1+'Drivers &amp; Assumptions'!C28)^0,0),0)</f>
        <v>5</v>
      </c>
      <c r="N18" s="24">
        <f>IF(MOD(13,'Drivers &amp; Assumptions'!C26)=0,ROUND('Drivers &amp; Assumptions'!C27*(1+'Drivers &amp; Assumptions'!C28)^1,0),0)</f>
        <v>0</v>
      </c>
      <c r="O18" s="24">
        <f>IF(MOD(14,'Drivers &amp; Assumptions'!C26)=0,ROUND('Drivers &amp; Assumptions'!C27*(1+'Drivers &amp; Assumptions'!C28)^1,0),0)</f>
        <v>0</v>
      </c>
      <c r="P18" s="24">
        <f>IF(MOD(15,'Drivers &amp; Assumptions'!C26)=0,ROUND('Drivers &amp; Assumptions'!C27*(1+'Drivers &amp; Assumptions'!C28)^1,0),0)</f>
        <v>6</v>
      </c>
      <c r="Q18" s="24">
        <f>IF(MOD(16,'Drivers &amp; Assumptions'!C26)=0,ROUND('Drivers &amp; Assumptions'!C27*(1+'Drivers &amp; Assumptions'!C28)^1,0),0)</f>
        <v>0</v>
      </c>
      <c r="R18" s="24">
        <f>IF(MOD(17,'Drivers &amp; Assumptions'!C26)=0,ROUND('Drivers &amp; Assumptions'!C27*(1+'Drivers &amp; Assumptions'!C28)^1,0),0)</f>
        <v>0</v>
      </c>
      <c r="S18" s="24">
        <f>IF(MOD(18,'Drivers &amp; Assumptions'!C26)=0,ROUND('Drivers &amp; Assumptions'!C27*(1+'Drivers &amp; Assumptions'!C28)^1,0),0)</f>
        <v>6</v>
      </c>
      <c r="T18" s="24">
        <f>IF(MOD(19,'Drivers &amp; Assumptions'!C26)=0,ROUND('Drivers &amp; Assumptions'!C27*(1+'Drivers &amp; Assumptions'!C28)^1,0),0)</f>
        <v>0</v>
      </c>
      <c r="U18" s="24">
        <f>IF(MOD(20,'Drivers &amp; Assumptions'!C26)=0,ROUND('Drivers &amp; Assumptions'!C27*(1+'Drivers &amp; Assumptions'!C28)^1,0),0)</f>
        <v>0</v>
      </c>
      <c r="V18" s="24">
        <f>IF(MOD(21,'Drivers &amp; Assumptions'!C26)=0,ROUND('Drivers &amp; Assumptions'!C27*(1+'Drivers &amp; Assumptions'!C28)^1,0),0)</f>
        <v>6</v>
      </c>
      <c r="W18" s="24">
        <f>IF(MOD(22,'Drivers &amp; Assumptions'!C26)=0,ROUND('Drivers &amp; Assumptions'!C27*(1+'Drivers &amp; Assumptions'!C28)^1,0),0)</f>
        <v>0</v>
      </c>
      <c r="X18" s="24">
        <f>IF(MOD(23,'Drivers &amp; Assumptions'!C26)=0,ROUND('Drivers &amp; Assumptions'!C27*(1+'Drivers &amp; Assumptions'!C28)^1,0),0)</f>
        <v>0</v>
      </c>
      <c r="Y18" s="24">
        <f>IF(MOD(24,'Drivers &amp; Assumptions'!C26)=0,ROUND('Drivers &amp; Assumptions'!C27*(1+'Drivers &amp; Assumptions'!C28)^1,0),0)</f>
        <v>6</v>
      </c>
      <c r="Z18" s="24">
        <f>IF(MOD(25,'Drivers &amp; Assumptions'!C26)=0,ROUND('Drivers &amp; Assumptions'!C27*(1+'Drivers &amp; Assumptions'!C28)^2,0),0)</f>
        <v>0</v>
      </c>
      <c r="AA18" s="24">
        <f>IF(MOD(26,'Drivers &amp; Assumptions'!C26)=0,ROUND('Drivers &amp; Assumptions'!C27*(1+'Drivers &amp; Assumptions'!C28)^2,0),0)</f>
        <v>0</v>
      </c>
      <c r="AB18" s="24">
        <f>IF(MOD(27,'Drivers &amp; Assumptions'!C26)=0,ROUND('Drivers &amp; Assumptions'!C27*(1+'Drivers &amp; Assumptions'!C28)^2,0),0)</f>
        <v>8</v>
      </c>
      <c r="AC18" s="24">
        <f>IF(MOD(28,'Drivers &amp; Assumptions'!C26)=0,ROUND('Drivers &amp; Assumptions'!C27*(1+'Drivers &amp; Assumptions'!C28)^2,0),0)</f>
        <v>0</v>
      </c>
      <c r="AD18" s="24">
        <f>IF(MOD(29,'Drivers &amp; Assumptions'!C26)=0,ROUND('Drivers &amp; Assumptions'!C27*(1+'Drivers &amp; Assumptions'!C28)^2,0),0)</f>
        <v>0</v>
      </c>
      <c r="AE18" s="24">
        <f>IF(MOD(30,'Drivers &amp; Assumptions'!C26)=0,ROUND('Drivers &amp; Assumptions'!C27*(1+'Drivers &amp; Assumptions'!C28)^2,0),0)</f>
        <v>8</v>
      </c>
      <c r="AF18" s="24">
        <f>IF(MOD(31,'Drivers &amp; Assumptions'!C26)=0,ROUND('Drivers &amp; Assumptions'!C27*(1+'Drivers &amp; Assumptions'!C28)^2,0),0)</f>
        <v>0</v>
      </c>
      <c r="AG18" s="24">
        <f>IF(MOD(32,'Drivers &amp; Assumptions'!C26)=0,ROUND('Drivers &amp; Assumptions'!C27*(1+'Drivers &amp; Assumptions'!C28)^2,0),0)</f>
        <v>0</v>
      </c>
      <c r="AH18" s="24">
        <f>IF(MOD(33,'Drivers &amp; Assumptions'!C26)=0,ROUND('Drivers &amp; Assumptions'!C27*(1+'Drivers &amp; Assumptions'!C28)^2,0),0)</f>
        <v>8</v>
      </c>
      <c r="AI18" s="24">
        <f>IF(MOD(34,'Drivers &amp; Assumptions'!C26)=0,ROUND('Drivers &amp; Assumptions'!C27*(1+'Drivers &amp; Assumptions'!C28)^2,0),0)</f>
        <v>0</v>
      </c>
      <c r="AJ18" s="24">
        <f>IF(MOD(35,'Drivers &amp; Assumptions'!C26)=0,ROUND('Drivers &amp; Assumptions'!C27*(1+'Drivers &amp; Assumptions'!C28)^2,0),0)</f>
        <v>0</v>
      </c>
      <c r="AK18" s="24">
        <f>IF(MOD(36,'Drivers &amp; Assumptions'!C26)=0,ROUND('Drivers &amp; Assumptions'!C27*(1+'Drivers &amp; Assumptions'!C28)^2,0),0)</f>
        <v>8</v>
      </c>
      <c r="AL18" s="24">
        <f>IF(MOD(37,'Drivers &amp; Assumptions'!C26)=0,ROUND('Drivers &amp; Assumptions'!C27*(1+'Drivers &amp; Assumptions'!C28)^3,0),0)</f>
        <v>0</v>
      </c>
      <c r="AM18" s="24">
        <f>IF(MOD(38,'Drivers &amp; Assumptions'!C26)=0,ROUND('Drivers &amp; Assumptions'!C27*(1+'Drivers &amp; Assumptions'!C28)^3,0),0)</f>
        <v>0</v>
      </c>
      <c r="AN18" s="24">
        <f>IF(MOD(39,'Drivers &amp; Assumptions'!C26)=0,ROUND('Drivers &amp; Assumptions'!C27*(1+'Drivers &amp; Assumptions'!C28)^3,0),0)</f>
        <v>10</v>
      </c>
      <c r="AO18" s="24">
        <f>IF(MOD(40,'Drivers &amp; Assumptions'!C26)=0,ROUND('Drivers &amp; Assumptions'!C27*(1+'Drivers &amp; Assumptions'!C28)^3,0),0)</f>
        <v>0</v>
      </c>
      <c r="AP18" s="24">
        <f>IF(MOD(41,'Drivers &amp; Assumptions'!C26)=0,ROUND('Drivers &amp; Assumptions'!C27*(1+'Drivers &amp; Assumptions'!C28)^3,0),0)</f>
        <v>0</v>
      </c>
      <c r="AQ18" s="24">
        <f>IF(MOD(42,'Drivers &amp; Assumptions'!C26)=0,ROUND('Drivers &amp; Assumptions'!C27*(1+'Drivers &amp; Assumptions'!C28)^3,0),0)</f>
        <v>10</v>
      </c>
      <c r="AR18" s="24">
        <f>IF(MOD(43,'Drivers &amp; Assumptions'!C26)=0,ROUND('Drivers &amp; Assumptions'!C27*(1+'Drivers &amp; Assumptions'!C28)^3,0),0)</f>
        <v>0</v>
      </c>
      <c r="AS18" s="24">
        <f>IF(MOD(44,'Drivers &amp; Assumptions'!C26)=0,ROUND('Drivers &amp; Assumptions'!C27*(1+'Drivers &amp; Assumptions'!C28)^3,0),0)</f>
        <v>0</v>
      </c>
      <c r="AT18" s="24">
        <f>IF(MOD(45,'Drivers &amp; Assumptions'!C26)=0,ROUND('Drivers &amp; Assumptions'!C27*(1+'Drivers &amp; Assumptions'!C28)^3,0),0)</f>
        <v>10</v>
      </c>
      <c r="AU18" s="24">
        <f>IF(MOD(46,'Drivers &amp; Assumptions'!C26)=0,ROUND('Drivers &amp; Assumptions'!C27*(1+'Drivers &amp; Assumptions'!C28)^3,0),0)</f>
        <v>0</v>
      </c>
      <c r="AV18" s="24">
        <f>IF(MOD(47,'Drivers &amp; Assumptions'!C26)=0,ROUND('Drivers &amp; Assumptions'!C27*(1+'Drivers &amp; Assumptions'!C28)^3,0),0)</f>
        <v>0</v>
      </c>
      <c r="AW18" s="24">
        <f>IF(MOD(48,'Drivers &amp; Assumptions'!C26)=0,ROUND('Drivers &amp; Assumptions'!C27*(1+'Drivers &amp; Assumptions'!C28)^3,0),0)</f>
        <v>10</v>
      </c>
      <c r="AX18" s="24">
        <f>IF(MOD(49,'Drivers &amp; Assumptions'!C26)=0,ROUND('Drivers &amp; Assumptions'!C27*(1+'Drivers &amp; Assumptions'!C28)^4,0),0)</f>
        <v>0</v>
      </c>
      <c r="AY18" s="24">
        <f>IF(MOD(50,'Drivers &amp; Assumptions'!C26)=0,ROUND('Drivers &amp; Assumptions'!C27*(1+'Drivers &amp; Assumptions'!C28)^4,0),0)</f>
        <v>0</v>
      </c>
      <c r="AZ18" s="24">
        <f>IF(MOD(51,'Drivers &amp; Assumptions'!C26)=0,ROUND('Drivers &amp; Assumptions'!C27*(1+'Drivers &amp; Assumptions'!C28)^4,0),0)</f>
        <v>12</v>
      </c>
      <c r="BA18" s="24">
        <f>IF(MOD(52,'Drivers &amp; Assumptions'!C26)=0,ROUND('Drivers &amp; Assumptions'!C27*(1+'Drivers &amp; Assumptions'!C28)^4,0),0)</f>
        <v>0</v>
      </c>
      <c r="BB18" s="24">
        <f>IF(MOD(53,'Drivers &amp; Assumptions'!C26)=0,ROUND('Drivers &amp; Assumptions'!C27*(1+'Drivers &amp; Assumptions'!C28)^4,0),0)</f>
        <v>0</v>
      </c>
      <c r="BC18" s="24">
        <f>IF(MOD(54,'Drivers &amp; Assumptions'!C26)=0,ROUND('Drivers &amp; Assumptions'!C27*(1+'Drivers &amp; Assumptions'!C28)^4,0),0)</f>
        <v>12</v>
      </c>
      <c r="BD18" s="24">
        <f>IF(MOD(55,'Drivers &amp; Assumptions'!C26)=0,ROUND('Drivers &amp; Assumptions'!C27*(1+'Drivers &amp; Assumptions'!C28)^4,0),0)</f>
        <v>0</v>
      </c>
      <c r="BE18" s="24">
        <f>IF(MOD(56,'Drivers &amp; Assumptions'!C26)=0,ROUND('Drivers &amp; Assumptions'!C27*(1+'Drivers &amp; Assumptions'!C28)^4,0),0)</f>
        <v>0</v>
      </c>
      <c r="BF18" s="24">
        <f>IF(MOD(57,'Drivers &amp; Assumptions'!C26)=0,ROUND('Drivers &amp; Assumptions'!C27*(1+'Drivers &amp; Assumptions'!C28)^4,0),0)</f>
        <v>12</v>
      </c>
      <c r="BG18" s="24">
        <f>IF(MOD(58,'Drivers &amp; Assumptions'!C26)=0,ROUND('Drivers &amp; Assumptions'!C27*(1+'Drivers &amp; Assumptions'!C28)^4,0),0)</f>
        <v>0</v>
      </c>
      <c r="BH18" s="24">
        <f>IF(MOD(59,'Drivers &amp; Assumptions'!C26)=0,ROUND('Drivers &amp; Assumptions'!C27*(1+'Drivers &amp; Assumptions'!C28)^4,0),0)</f>
        <v>0</v>
      </c>
      <c r="BI18" s="24">
        <f>IF(MOD(60,'Drivers &amp; Assumptions'!C26)=0,ROUND('Drivers &amp; Assumptions'!C27*(1+'Drivers &amp; Assumptions'!C28)^4,0),0)</f>
        <v>12</v>
      </c>
    </row>
    <row r="19" spans="1:61" ht="15" customHeight="1" x14ac:dyDescent="0.35">
      <c r="A19" s="7" t="s">
        <v>242</v>
      </c>
      <c r="B19" s="33">
        <v>0</v>
      </c>
      <c r="C19" s="33">
        <v>0</v>
      </c>
      <c r="D19" s="33">
        <v>0</v>
      </c>
      <c r="E19" s="33">
        <v>0</v>
      </c>
      <c r="F19" s="33">
        <v>0</v>
      </c>
      <c r="G19" s="33">
        <v>0</v>
      </c>
      <c r="H19" s="33">
        <v>0</v>
      </c>
      <c r="I19" s="33">
        <v>0</v>
      </c>
      <c r="J19" s="24">
        <f>IF(MOD(9,'Drivers &amp; Assumptions'!C26)=0,ROUND('Drivers &amp; Assumptions'!C27*(1+'Drivers &amp; Assumptions'!C28)^0,0),0)</f>
        <v>5</v>
      </c>
      <c r="K19" s="24">
        <f>IF(MOD(10,'Drivers &amp; Assumptions'!C26)=0,ROUND('Drivers &amp; Assumptions'!C27*(1+'Drivers &amp; Assumptions'!C28)^0,0),0)</f>
        <v>0</v>
      </c>
      <c r="L19" s="24">
        <f>IF(MOD(11,'Drivers &amp; Assumptions'!C26)=0,ROUND('Drivers &amp; Assumptions'!C27*(1+'Drivers &amp; Assumptions'!C28)^0,0),0)</f>
        <v>0</v>
      </c>
      <c r="M19" s="24">
        <f>IF(MOD(12,'Drivers &amp; Assumptions'!C26)=0,ROUND('Drivers &amp; Assumptions'!C27*(1+'Drivers &amp; Assumptions'!C28)^0,0),0)</f>
        <v>5</v>
      </c>
      <c r="N19" s="24">
        <f>IF(MOD(13,'Drivers &amp; Assumptions'!C26)=0,ROUND('Drivers &amp; Assumptions'!C27*(1+'Drivers &amp; Assumptions'!C28)^1,0),0)</f>
        <v>0</v>
      </c>
      <c r="O19" s="24">
        <f>IF(MOD(14,'Drivers &amp; Assumptions'!C26)=0,ROUND('Drivers &amp; Assumptions'!C27*(1+'Drivers &amp; Assumptions'!C28)^1,0),0)</f>
        <v>0</v>
      </c>
      <c r="P19" s="24">
        <f>IF(MOD(15,'Drivers &amp; Assumptions'!C26)=0,ROUND('Drivers &amp; Assumptions'!C27*(1+'Drivers &amp; Assumptions'!C28)^1,0),0)</f>
        <v>6</v>
      </c>
      <c r="Q19" s="24">
        <f>IF(MOD(16,'Drivers &amp; Assumptions'!C26)=0,ROUND('Drivers &amp; Assumptions'!C27*(1+'Drivers &amp; Assumptions'!C28)^1,0),0)</f>
        <v>0</v>
      </c>
      <c r="R19" s="24">
        <f>IF(MOD(17,'Drivers &amp; Assumptions'!C26)=0,ROUND('Drivers &amp; Assumptions'!C27*(1+'Drivers &amp; Assumptions'!C28)^1,0),0)</f>
        <v>0</v>
      </c>
      <c r="S19" s="24">
        <f>IF(MOD(18,'Drivers &amp; Assumptions'!C26)=0,ROUND('Drivers &amp; Assumptions'!C27*(1+'Drivers &amp; Assumptions'!C28)^1,0),0)</f>
        <v>6</v>
      </c>
      <c r="T19" s="24">
        <f>IF(MOD(19,'Drivers &amp; Assumptions'!C26)=0,ROUND('Drivers &amp; Assumptions'!C27*(1+'Drivers &amp; Assumptions'!C28)^1,0),0)</f>
        <v>0</v>
      </c>
      <c r="U19" s="24">
        <f>IF(MOD(20,'Drivers &amp; Assumptions'!C26)=0,ROUND('Drivers &amp; Assumptions'!C27*(1+'Drivers &amp; Assumptions'!C28)^1,0),0)</f>
        <v>0</v>
      </c>
      <c r="V19" s="24">
        <f>IF(MOD(21,'Drivers &amp; Assumptions'!C26)=0,ROUND('Drivers &amp; Assumptions'!C27*(1+'Drivers &amp; Assumptions'!C28)^1,0),0)</f>
        <v>6</v>
      </c>
      <c r="W19" s="24">
        <f>IF(MOD(22,'Drivers &amp; Assumptions'!C26)=0,ROUND('Drivers &amp; Assumptions'!C27*(1+'Drivers &amp; Assumptions'!C28)^1,0),0)</f>
        <v>0</v>
      </c>
      <c r="X19" s="24">
        <f>IF(MOD(23,'Drivers &amp; Assumptions'!C26)=0,ROUND('Drivers &amp; Assumptions'!C27*(1+'Drivers &amp; Assumptions'!C28)^1,0),0)</f>
        <v>0</v>
      </c>
      <c r="Y19" s="24">
        <f>IF(MOD(24,'Drivers &amp; Assumptions'!C26)=0,ROUND('Drivers &amp; Assumptions'!C27*(1+'Drivers &amp; Assumptions'!C28)^1,0),0)</f>
        <v>6</v>
      </c>
      <c r="Z19" s="24">
        <f>IF(MOD(25,'Drivers &amp; Assumptions'!C26)=0,ROUND('Drivers &amp; Assumptions'!C27*(1+'Drivers &amp; Assumptions'!C28)^2,0),0)</f>
        <v>0</v>
      </c>
      <c r="AA19" s="24">
        <f>IF(MOD(26,'Drivers &amp; Assumptions'!C26)=0,ROUND('Drivers &amp; Assumptions'!C27*(1+'Drivers &amp; Assumptions'!C28)^2,0),0)</f>
        <v>0</v>
      </c>
      <c r="AB19" s="24">
        <f>IF(MOD(27,'Drivers &amp; Assumptions'!C26)=0,ROUND('Drivers &amp; Assumptions'!C27*(1+'Drivers &amp; Assumptions'!C28)^2,0),0)</f>
        <v>8</v>
      </c>
      <c r="AC19" s="24">
        <f>IF(MOD(28,'Drivers &amp; Assumptions'!C26)=0,ROUND('Drivers &amp; Assumptions'!C27*(1+'Drivers &amp; Assumptions'!C28)^2,0),0)</f>
        <v>0</v>
      </c>
      <c r="AD19" s="24">
        <f>IF(MOD(29,'Drivers &amp; Assumptions'!C26)=0,ROUND('Drivers &amp; Assumptions'!C27*(1+'Drivers &amp; Assumptions'!C28)^2,0),0)</f>
        <v>0</v>
      </c>
      <c r="AE19" s="24">
        <f>IF(MOD(30,'Drivers &amp; Assumptions'!C26)=0,ROUND('Drivers &amp; Assumptions'!C27*(1+'Drivers &amp; Assumptions'!C28)^2,0),0)</f>
        <v>8</v>
      </c>
      <c r="AF19" s="24">
        <f>IF(MOD(31,'Drivers &amp; Assumptions'!C26)=0,ROUND('Drivers &amp; Assumptions'!C27*(1+'Drivers &amp; Assumptions'!C28)^2,0),0)</f>
        <v>0</v>
      </c>
      <c r="AG19" s="24">
        <f>IF(MOD(32,'Drivers &amp; Assumptions'!C26)=0,ROUND('Drivers &amp; Assumptions'!C27*(1+'Drivers &amp; Assumptions'!C28)^2,0),0)</f>
        <v>0</v>
      </c>
      <c r="AH19" s="24">
        <f>IF(MOD(33,'Drivers &amp; Assumptions'!C26)=0,ROUND('Drivers &amp; Assumptions'!C27*(1+'Drivers &amp; Assumptions'!C28)^2,0),0)</f>
        <v>8</v>
      </c>
      <c r="AI19" s="24">
        <f>IF(MOD(34,'Drivers &amp; Assumptions'!C26)=0,ROUND('Drivers &amp; Assumptions'!C27*(1+'Drivers &amp; Assumptions'!C28)^2,0),0)</f>
        <v>0</v>
      </c>
      <c r="AJ19" s="24">
        <f>IF(MOD(35,'Drivers &amp; Assumptions'!C26)=0,ROUND('Drivers &amp; Assumptions'!C27*(1+'Drivers &amp; Assumptions'!C28)^2,0),0)</f>
        <v>0</v>
      </c>
      <c r="AK19" s="24">
        <f>IF(MOD(36,'Drivers &amp; Assumptions'!C26)=0,ROUND('Drivers &amp; Assumptions'!C27*(1+'Drivers &amp; Assumptions'!C28)^2,0),0)</f>
        <v>8</v>
      </c>
      <c r="AL19" s="24">
        <f>IF(MOD(37,'Drivers &amp; Assumptions'!C26)=0,ROUND('Drivers &amp; Assumptions'!C27*(1+'Drivers &amp; Assumptions'!C28)^3,0),0)</f>
        <v>0</v>
      </c>
      <c r="AM19" s="24">
        <f>IF(MOD(38,'Drivers &amp; Assumptions'!C26)=0,ROUND('Drivers &amp; Assumptions'!C27*(1+'Drivers &amp; Assumptions'!C28)^3,0),0)</f>
        <v>0</v>
      </c>
      <c r="AN19" s="24">
        <f>IF(MOD(39,'Drivers &amp; Assumptions'!C26)=0,ROUND('Drivers &amp; Assumptions'!C27*(1+'Drivers &amp; Assumptions'!C28)^3,0),0)</f>
        <v>10</v>
      </c>
      <c r="AO19" s="24">
        <f>IF(MOD(40,'Drivers &amp; Assumptions'!C26)=0,ROUND('Drivers &amp; Assumptions'!C27*(1+'Drivers &amp; Assumptions'!C28)^3,0),0)</f>
        <v>0</v>
      </c>
      <c r="AP19" s="24">
        <f>IF(MOD(41,'Drivers &amp; Assumptions'!C26)=0,ROUND('Drivers &amp; Assumptions'!C27*(1+'Drivers &amp; Assumptions'!C28)^3,0),0)</f>
        <v>0</v>
      </c>
      <c r="AQ19" s="24">
        <f>IF(MOD(42,'Drivers &amp; Assumptions'!C26)=0,ROUND('Drivers &amp; Assumptions'!C27*(1+'Drivers &amp; Assumptions'!C28)^3,0),0)</f>
        <v>10</v>
      </c>
      <c r="AR19" s="24">
        <f>IF(MOD(43,'Drivers &amp; Assumptions'!C26)=0,ROUND('Drivers &amp; Assumptions'!C27*(1+'Drivers &amp; Assumptions'!C28)^3,0),0)</f>
        <v>0</v>
      </c>
      <c r="AS19" s="24">
        <f>IF(MOD(44,'Drivers &amp; Assumptions'!C26)=0,ROUND('Drivers &amp; Assumptions'!C27*(1+'Drivers &amp; Assumptions'!C28)^3,0),0)</f>
        <v>0</v>
      </c>
      <c r="AT19" s="24">
        <f>IF(MOD(45,'Drivers &amp; Assumptions'!C26)=0,ROUND('Drivers &amp; Assumptions'!C27*(1+'Drivers &amp; Assumptions'!C28)^3,0),0)</f>
        <v>10</v>
      </c>
      <c r="AU19" s="24">
        <f>IF(MOD(46,'Drivers &amp; Assumptions'!C26)=0,ROUND('Drivers &amp; Assumptions'!C27*(1+'Drivers &amp; Assumptions'!C28)^3,0),0)</f>
        <v>0</v>
      </c>
      <c r="AV19" s="24">
        <f>IF(MOD(47,'Drivers &amp; Assumptions'!C26)=0,ROUND('Drivers &amp; Assumptions'!C27*(1+'Drivers &amp; Assumptions'!C28)^3,0),0)</f>
        <v>0</v>
      </c>
      <c r="AW19" s="24">
        <f>IF(MOD(48,'Drivers &amp; Assumptions'!C26)=0,ROUND('Drivers &amp; Assumptions'!C27*(1+'Drivers &amp; Assumptions'!C28)^3,0),0)</f>
        <v>10</v>
      </c>
      <c r="AX19" s="24">
        <f>IF(MOD(49,'Drivers &amp; Assumptions'!C26)=0,ROUND('Drivers &amp; Assumptions'!C27*(1+'Drivers &amp; Assumptions'!C28)^4,0),0)</f>
        <v>0</v>
      </c>
      <c r="AY19" s="24">
        <f>IF(MOD(50,'Drivers &amp; Assumptions'!C26)=0,ROUND('Drivers &amp; Assumptions'!C27*(1+'Drivers &amp; Assumptions'!C28)^4,0),0)</f>
        <v>0</v>
      </c>
      <c r="AZ19" s="24">
        <f>IF(MOD(51,'Drivers &amp; Assumptions'!C26)=0,ROUND('Drivers &amp; Assumptions'!C27*(1+'Drivers &amp; Assumptions'!C28)^4,0),0)</f>
        <v>12</v>
      </c>
      <c r="BA19" s="24">
        <f>IF(MOD(52,'Drivers &amp; Assumptions'!C26)=0,ROUND('Drivers &amp; Assumptions'!C27*(1+'Drivers &amp; Assumptions'!C28)^4,0),0)</f>
        <v>0</v>
      </c>
      <c r="BB19" s="24">
        <f>IF(MOD(53,'Drivers &amp; Assumptions'!C26)=0,ROUND('Drivers &amp; Assumptions'!C27*(1+'Drivers &amp; Assumptions'!C28)^4,0),0)</f>
        <v>0</v>
      </c>
      <c r="BC19" s="24">
        <f>IF(MOD(54,'Drivers &amp; Assumptions'!C26)=0,ROUND('Drivers &amp; Assumptions'!C27*(1+'Drivers &amp; Assumptions'!C28)^4,0),0)</f>
        <v>12</v>
      </c>
      <c r="BD19" s="24">
        <f>IF(MOD(55,'Drivers &amp; Assumptions'!C26)=0,ROUND('Drivers &amp; Assumptions'!C27*(1+'Drivers &amp; Assumptions'!C28)^4,0),0)</f>
        <v>0</v>
      </c>
      <c r="BE19" s="24">
        <f>IF(MOD(56,'Drivers &amp; Assumptions'!C26)=0,ROUND('Drivers &amp; Assumptions'!C27*(1+'Drivers &amp; Assumptions'!C28)^4,0),0)</f>
        <v>0</v>
      </c>
      <c r="BF19" s="24">
        <f>IF(MOD(57,'Drivers &amp; Assumptions'!C26)=0,ROUND('Drivers &amp; Assumptions'!C27*(1+'Drivers &amp; Assumptions'!C28)^4,0),0)</f>
        <v>12</v>
      </c>
      <c r="BG19" s="24">
        <f>IF(MOD(58,'Drivers &amp; Assumptions'!C26)=0,ROUND('Drivers &amp; Assumptions'!C27*(1+'Drivers &amp; Assumptions'!C28)^4,0),0)</f>
        <v>0</v>
      </c>
      <c r="BH19" s="24">
        <f>IF(MOD(59,'Drivers &amp; Assumptions'!C26)=0,ROUND('Drivers &amp; Assumptions'!C27*(1+'Drivers &amp; Assumptions'!C28)^4,0),0)</f>
        <v>0</v>
      </c>
      <c r="BI19" s="24">
        <f>IF(MOD(60,'Drivers &amp; Assumptions'!C26)=0,ROUND('Drivers &amp; Assumptions'!C27*(1+'Drivers &amp; Assumptions'!C28)^4,0),0)</f>
        <v>12</v>
      </c>
    </row>
    <row r="20" spans="1:61" ht="15" customHeight="1" x14ac:dyDescent="0.35">
      <c r="A20" s="7" t="s">
        <v>243</v>
      </c>
      <c r="B20" s="33">
        <v>0</v>
      </c>
      <c r="C20" s="33">
        <v>0</v>
      </c>
      <c r="D20" s="33">
        <v>0</v>
      </c>
      <c r="E20" s="33">
        <v>0</v>
      </c>
      <c r="F20" s="33">
        <v>0</v>
      </c>
      <c r="G20" s="33">
        <v>0</v>
      </c>
      <c r="H20" s="33">
        <v>0</v>
      </c>
      <c r="I20" s="33">
        <v>0</v>
      </c>
      <c r="J20" s="24">
        <f>IF(MOD(9,'Drivers &amp; Assumptions'!C26)=0,ROUND('Drivers &amp; Assumptions'!C27*(1+'Drivers &amp; Assumptions'!C28)^0,0),0)</f>
        <v>5</v>
      </c>
      <c r="K20" s="24">
        <f>IF(MOD(10,'Drivers &amp; Assumptions'!C26)=0,ROUND('Drivers &amp; Assumptions'!C27*(1+'Drivers &amp; Assumptions'!C28)^0,0),0)</f>
        <v>0</v>
      </c>
      <c r="L20" s="24">
        <f>IF(MOD(11,'Drivers &amp; Assumptions'!C26)=0,ROUND('Drivers &amp; Assumptions'!C27*(1+'Drivers &amp; Assumptions'!C28)^0,0),0)</f>
        <v>0</v>
      </c>
      <c r="M20" s="24">
        <f>IF(MOD(12,'Drivers &amp; Assumptions'!C26)=0,ROUND('Drivers &amp; Assumptions'!C27*(1+'Drivers &amp; Assumptions'!C28)^0,0),0)</f>
        <v>5</v>
      </c>
      <c r="N20" s="24">
        <f>IF(MOD(13,'Drivers &amp; Assumptions'!C26)=0,ROUND('Drivers &amp; Assumptions'!C27*(1+'Drivers &amp; Assumptions'!C28)^1,0),0)</f>
        <v>0</v>
      </c>
      <c r="O20" s="24">
        <f>IF(MOD(14,'Drivers &amp; Assumptions'!C26)=0,ROUND('Drivers &amp; Assumptions'!C27*(1+'Drivers &amp; Assumptions'!C28)^1,0),0)</f>
        <v>0</v>
      </c>
      <c r="P20" s="24">
        <f>IF(MOD(15,'Drivers &amp; Assumptions'!C26)=0,ROUND('Drivers &amp; Assumptions'!C27*(1+'Drivers &amp; Assumptions'!C28)^1,0),0)</f>
        <v>6</v>
      </c>
      <c r="Q20" s="24">
        <f>IF(MOD(16,'Drivers &amp; Assumptions'!C26)=0,ROUND('Drivers &amp; Assumptions'!C27*(1+'Drivers &amp; Assumptions'!C28)^1,0),0)</f>
        <v>0</v>
      </c>
      <c r="R20" s="24">
        <f>IF(MOD(17,'Drivers &amp; Assumptions'!C26)=0,ROUND('Drivers &amp; Assumptions'!C27*(1+'Drivers &amp; Assumptions'!C28)^1,0),0)</f>
        <v>0</v>
      </c>
      <c r="S20" s="24">
        <f>IF(MOD(18,'Drivers &amp; Assumptions'!C26)=0,ROUND('Drivers &amp; Assumptions'!C27*(1+'Drivers &amp; Assumptions'!C28)^1,0),0)</f>
        <v>6</v>
      </c>
      <c r="T20" s="24">
        <f>IF(MOD(19,'Drivers &amp; Assumptions'!C26)=0,ROUND('Drivers &amp; Assumptions'!C27*(1+'Drivers &amp; Assumptions'!C28)^1,0),0)</f>
        <v>0</v>
      </c>
      <c r="U20" s="24">
        <f>IF(MOD(20,'Drivers &amp; Assumptions'!C26)=0,ROUND('Drivers &amp; Assumptions'!C27*(1+'Drivers &amp; Assumptions'!C28)^1,0),0)</f>
        <v>0</v>
      </c>
      <c r="V20" s="24">
        <f>IF(MOD(21,'Drivers &amp; Assumptions'!C26)=0,ROUND('Drivers &amp; Assumptions'!C27*(1+'Drivers &amp; Assumptions'!C28)^1,0),0)</f>
        <v>6</v>
      </c>
      <c r="W20" s="24">
        <f>IF(MOD(22,'Drivers &amp; Assumptions'!C26)=0,ROUND('Drivers &amp; Assumptions'!C27*(1+'Drivers &amp; Assumptions'!C28)^1,0),0)</f>
        <v>0</v>
      </c>
      <c r="X20" s="24">
        <f>IF(MOD(23,'Drivers &amp; Assumptions'!C26)=0,ROUND('Drivers &amp; Assumptions'!C27*(1+'Drivers &amp; Assumptions'!C28)^1,0),0)</f>
        <v>0</v>
      </c>
      <c r="Y20" s="24">
        <f>IF(MOD(24,'Drivers &amp; Assumptions'!C26)=0,ROUND('Drivers &amp; Assumptions'!C27*(1+'Drivers &amp; Assumptions'!C28)^1,0),0)</f>
        <v>6</v>
      </c>
      <c r="Z20" s="24">
        <f>IF(MOD(25,'Drivers &amp; Assumptions'!C26)=0,ROUND('Drivers &amp; Assumptions'!C27*(1+'Drivers &amp; Assumptions'!C28)^2,0),0)</f>
        <v>0</v>
      </c>
      <c r="AA20" s="24">
        <f>IF(MOD(26,'Drivers &amp; Assumptions'!C26)=0,ROUND('Drivers &amp; Assumptions'!C27*(1+'Drivers &amp; Assumptions'!C28)^2,0),0)</f>
        <v>0</v>
      </c>
      <c r="AB20" s="24">
        <f>IF(MOD(27,'Drivers &amp; Assumptions'!C26)=0,ROUND('Drivers &amp; Assumptions'!C27*(1+'Drivers &amp; Assumptions'!C28)^2,0),0)</f>
        <v>8</v>
      </c>
      <c r="AC20" s="24">
        <f>IF(MOD(28,'Drivers &amp; Assumptions'!C26)=0,ROUND('Drivers &amp; Assumptions'!C27*(1+'Drivers &amp; Assumptions'!C28)^2,0),0)</f>
        <v>0</v>
      </c>
      <c r="AD20" s="24">
        <f>IF(MOD(29,'Drivers &amp; Assumptions'!C26)=0,ROUND('Drivers &amp; Assumptions'!C27*(1+'Drivers &amp; Assumptions'!C28)^2,0),0)</f>
        <v>0</v>
      </c>
      <c r="AE20" s="24">
        <f>IF(MOD(30,'Drivers &amp; Assumptions'!C26)=0,ROUND('Drivers &amp; Assumptions'!C27*(1+'Drivers &amp; Assumptions'!C28)^2,0),0)</f>
        <v>8</v>
      </c>
      <c r="AF20" s="24">
        <f>IF(MOD(31,'Drivers &amp; Assumptions'!C26)=0,ROUND('Drivers &amp; Assumptions'!C27*(1+'Drivers &amp; Assumptions'!C28)^2,0),0)</f>
        <v>0</v>
      </c>
      <c r="AG20" s="24">
        <f>IF(MOD(32,'Drivers &amp; Assumptions'!C26)=0,ROUND('Drivers &amp; Assumptions'!C27*(1+'Drivers &amp; Assumptions'!C28)^2,0),0)</f>
        <v>0</v>
      </c>
      <c r="AH20" s="24">
        <f>IF(MOD(33,'Drivers &amp; Assumptions'!C26)=0,ROUND('Drivers &amp; Assumptions'!C27*(1+'Drivers &amp; Assumptions'!C28)^2,0),0)</f>
        <v>8</v>
      </c>
      <c r="AI20" s="24">
        <f>IF(MOD(34,'Drivers &amp; Assumptions'!C26)=0,ROUND('Drivers &amp; Assumptions'!C27*(1+'Drivers &amp; Assumptions'!C28)^2,0),0)</f>
        <v>0</v>
      </c>
      <c r="AJ20" s="24">
        <f>IF(MOD(35,'Drivers &amp; Assumptions'!C26)=0,ROUND('Drivers &amp; Assumptions'!C27*(1+'Drivers &amp; Assumptions'!C28)^2,0),0)</f>
        <v>0</v>
      </c>
      <c r="AK20" s="24">
        <f>IF(MOD(36,'Drivers &amp; Assumptions'!C26)=0,ROUND('Drivers &amp; Assumptions'!C27*(1+'Drivers &amp; Assumptions'!C28)^2,0),0)</f>
        <v>8</v>
      </c>
      <c r="AL20" s="24">
        <f>IF(MOD(37,'Drivers &amp; Assumptions'!C26)=0,ROUND('Drivers &amp; Assumptions'!C27*(1+'Drivers &amp; Assumptions'!C28)^3,0),0)</f>
        <v>0</v>
      </c>
      <c r="AM20" s="24">
        <f>IF(MOD(38,'Drivers &amp; Assumptions'!C26)=0,ROUND('Drivers &amp; Assumptions'!C27*(1+'Drivers &amp; Assumptions'!C28)^3,0),0)</f>
        <v>0</v>
      </c>
      <c r="AN20" s="24">
        <f>IF(MOD(39,'Drivers &amp; Assumptions'!C26)=0,ROUND('Drivers &amp; Assumptions'!C27*(1+'Drivers &amp; Assumptions'!C28)^3,0),0)</f>
        <v>10</v>
      </c>
      <c r="AO20" s="24">
        <f>IF(MOD(40,'Drivers &amp; Assumptions'!C26)=0,ROUND('Drivers &amp; Assumptions'!C27*(1+'Drivers &amp; Assumptions'!C28)^3,0),0)</f>
        <v>0</v>
      </c>
      <c r="AP20" s="24">
        <f>IF(MOD(41,'Drivers &amp; Assumptions'!C26)=0,ROUND('Drivers &amp; Assumptions'!C27*(1+'Drivers &amp; Assumptions'!C28)^3,0),0)</f>
        <v>0</v>
      </c>
      <c r="AQ20" s="24">
        <f>IF(MOD(42,'Drivers &amp; Assumptions'!C26)=0,ROUND('Drivers &amp; Assumptions'!C27*(1+'Drivers &amp; Assumptions'!C28)^3,0),0)</f>
        <v>10</v>
      </c>
      <c r="AR20" s="24">
        <f>IF(MOD(43,'Drivers &amp; Assumptions'!C26)=0,ROUND('Drivers &amp; Assumptions'!C27*(1+'Drivers &amp; Assumptions'!C28)^3,0),0)</f>
        <v>0</v>
      </c>
      <c r="AS20" s="24">
        <f>IF(MOD(44,'Drivers &amp; Assumptions'!C26)=0,ROUND('Drivers &amp; Assumptions'!C27*(1+'Drivers &amp; Assumptions'!C28)^3,0),0)</f>
        <v>0</v>
      </c>
      <c r="AT20" s="24">
        <f>IF(MOD(45,'Drivers &amp; Assumptions'!C26)=0,ROUND('Drivers &amp; Assumptions'!C27*(1+'Drivers &amp; Assumptions'!C28)^3,0),0)</f>
        <v>10</v>
      </c>
      <c r="AU20" s="24">
        <f>IF(MOD(46,'Drivers &amp; Assumptions'!C26)=0,ROUND('Drivers &amp; Assumptions'!C27*(1+'Drivers &amp; Assumptions'!C28)^3,0),0)</f>
        <v>0</v>
      </c>
      <c r="AV20" s="24">
        <f>IF(MOD(47,'Drivers &amp; Assumptions'!C26)=0,ROUND('Drivers &amp; Assumptions'!C27*(1+'Drivers &amp; Assumptions'!C28)^3,0),0)</f>
        <v>0</v>
      </c>
      <c r="AW20" s="24">
        <f>IF(MOD(48,'Drivers &amp; Assumptions'!C26)=0,ROUND('Drivers &amp; Assumptions'!C27*(1+'Drivers &amp; Assumptions'!C28)^3,0),0)</f>
        <v>10</v>
      </c>
      <c r="AX20" s="24">
        <f>IF(MOD(49,'Drivers &amp; Assumptions'!C26)=0,ROUND('Drivers &amp; Assumptions'!C27*(1+'Drivers &amp; Assumptions'!C28)^4,0),0)</f>
        <v>0</v>
      </c>
      <c r="AY20" s="24">
        <f>IF(MOD(50,'Drivers &amp; Assumptions'!C26)=0,ROUND('Drivers &amp; Assumptions'!C27*(1+'Drivers &amp; Assumptions'!C28)^4,0),0)</f>
        <v>0</v>
      </c>
      <c r="AZ20" s="24">
        <f>IF(MOD(51,'Drivers &amp; Assumptions'!C26)=0,ROUND('Drivers &amp; Assumptions'!C27*(1+'Drivers &amp; Assumptions'!C28)^4,0),0)</f>
        <v>12</v>
      </c>
      <c r="BA20" s="24">
        <f>IF(MOD(52,'Drivers &amp; Assumptions'!C26)=0,ROUND('Drivers &amp; Assumptions'!C27*(1+'Drivers &amp; Assumptions'!C28)^4,0),0)</f>
        <v>0</v>
      </c>
      <c r="BB20" s="24">
        <f>IF(MOD(53,'Drivers &amp; Assumptions'!C26)=0,ROUND('Drivers &amp; Assumptions'!C27*(1+'Drivers &amp; Assumptions'!C28)^4,0),0)</f>
        <v>0</v>
      </c>
      <c r="BC20" s="24">
        <f>IF(MOD(54,'Drivers &amp; Assumptions'!C26)=0,ROUND('Drivers &amp; Assumptions'!C27*(1+'Drivers &amp; Assumptions'!C28)^4,0),0)</f>
        <v>12</v>
      </c>
      <c r="BD20" s="24">
        <f>IF(MOD(55,'Drivers &amp; Assumptions'!C26)=0,ROUND('Drivers &amp; Assumptions'!C27*(1+'Drivers &amp; Assumptions'!C28)^4,0),0)</f>
        <v>0</v>
      </c>
      <c r="BE20" s="24">
        <f>IF(MOD(56,'Drivers &amp; Assumptions'!C26)=0,ROUND('Drivers &amp; Assumptions'!C27*(1+'Drivers &amp; Assumptions'!C28)^4,0),0)</f>
        <v>0</v>
      </c>
      <c r="BF20" s="24">
        <f>IF(MOD(57,'Drivers &amp; Assumptions'!C26)=0,ROUND('Drivers &amp; Assumptions'!C27*(1+'Drivers &amp; Assumptions'!C28)^4,0),0)</f>
        <v>12</v>
      </c>
      <c r="BG20" s="24">
        <f>IF(MOD(58,'Drivers &amp; Assumptions'!C26)=0,ROUND('Drivers &amp; Assumptions'!C27*(1+'Drivers &amp; Assumptions'!C28)^4,0),0)</f>
        <v>0</v>
      </c>
      <c r="BH20" s="24">
        <f>IF(MOD(59,'Drivers &amp; Assumptions'!C26)=0,ROUND('Drivers &amp; Assumptions'!C27*(1+'Drivers &amp; Assumptions'!C28)^4,0),0)</f>
        <v>0</v>
      </c>
      <c r="BI20" s="24">
        <f>IF(MOD(60,'Drivers &amp; Assumptions'!C26)=0,ROUND('Drivers &amp; Assumptions'!C27*(1+'Drivers &amp; Assumptions'!C28)^4,0),0)</f>
        <v>12</v>
      </c>
    </row>
    <row r="21" spans="1:61" ht="15" customHeight="1" x14ac:dyDescent="0.35">
      <c r="A21" s="7" t="s">
        <v>244</v>
      </c>
      <c r="B21" s="33">
        <v>0</v>
      </c>
      <c r="C21" s="33">
        <v>0</v>
      </c>
      <c r="D21" s="33">
        <v>0</v>
      </c>
      <c r="E21" s="33">
        <v>0</v>
      </c>
      <c r="F21" s="33">
        <v>0</v>
      </c>
      <c r="G21" s="33">
        <v>0</v>
      </c>
      <c r="H21" s="33">
        <v>0</v>
      </c>
      <c r="I21" s="33">
        <v>0</v>
      </c>
      <c r="J21" s="24">
        <f>IF(MOD(9,'Drivers &amp; Assumptions'!C26)=0,ROUND('Drivers &amp; Assumptions'!C27*(1+'Drivers &amp; Assumptions'!C28)^0,0),0)</f>
        <v>5</v>
      </c>
      <c r="K21" s="24">
        <f>IF(MOD(10,'Drivers &amp; Assumptions'!C26)=0,ROUND('Drivers &amp; Assumptions'!C27*(1+'Drivers &amp; Assumptions'!C28)^0,0),0)</f>
        <v>0</v>
      </c>
      <c r="L21" s="24">
        <f>IF(MOD(11,'Drivers &amp; Assumptions'!C26)=0,ROUND('Drivers &amp; Assumptions'!C27*(1+'Drivers &amp; Assumptions'!C28)^0,0),0)</f>
        <v>0</v>
      </c>
      <c r="M21" s="24">
        <f>IF(MOD(12,'Drivers &amp; Assumptions'!C26)=0,ROUND('Drivers &amp; Assumptions'!C27*(1+'Drivers &amp; Assumptions'!C28)^0,0),0)</f>
        <v>5</v>
      </c>
      <c r="N21" s="24">
        <f>IF(MOD(13,'Drivers &amp; Assumptions'!C26)=0,ROUND('Drivers &amp; Assumptions'!C27*(1+'Drivers &amp; Assumptions'!C28)^1,0),0)</f>
        <v>0</v>
      </c>
      <c r="O21" s="24">
        <f>IF(MOD(14,'Drivers &amp; Assumptions'!C26)=0,ROUND('Drivers &amp; Assumptions'!C27*(1+'Drivers &amp; Assumptions'!C28)^1,0),0)</f>
        <v>0</v>
      </c>
      <c r="P21" s="24">
        <f>IF(MOD(15,'Drivers &amp; Assumptions'!C26)=0,ROUND('Drivers &amp; Assumptions'!C27*(1+'Drivers &amp; Assumptions'!C28)^1,0),0)</f>
        <v>6</v>
      </c>
      <c r="Q21" s="24">
        <f>IF(MOD(16,'Drivers &amp; Assumptions'!C26)=0,ROUND('Drivers &amp; Assumptions'!C27*(1+'Drivers &amp; Assumptions'!C28)^1,0),0)</f>
        <v>0</v>
      </c>
      <c r="R21" s="24">
        <f>IF(MOD(17,'Drivers &amp; Assumptions'!C26)=0,ROUND('Drivers &amp; Assumptions'!C27*(1+'Drivers &amp; Assumptions'!C28)^1,0),0)</f>
        <v>0</v>
      </c>
      <c r="S21" s="24">
        <f>IF(MOD(18,'Drivers &amp; Assumptions'!C26)=0,ROUND('Drivers &amp; Assumptions'!C27*(1+'Drivers &amp; Assumptions'!C28)^1,0),0)</f>
        <v>6</v>
      </c>
      <c r="T21" s="24">
        <f>IF(MOD(19,'Drivers &amp; Assumptions'!C26)=0,ROUND('Drivers &amp; Assumptions'!C27*(1+'Drivers &amp; Assumptions'!C28)^1,0),0)</f>
        <v>0</v>
      </c>
      <c r="U21" s="24">
        <f>IF(MOD(20,'Drivers &amp; Assumptions'!C26)=0,ROUND('Drivers &amp; Assumptions'!C27*(1+'Drivers &amp; Assumptions'!C28)^1,0),0)</f>
        <v>0</v>
      </c>
      <c r="V21" s="24">
        <f>IF(MOD(21,'Drivers &amp; Assumptions'!C26)=0,ROUND('Drivers &amp; Assumptions'!C27*(1+'Drivers &amp; Assumptions'!C28)^1,0),0)</f>
        <v>6</v>
      </c>
      <c r="W21" s="24">
        <f>IF(MOD(22,'Drivers &amp; Assumptions'!C26)=0,ROUND('Drivers &amp; Assumptions'!C27*(1+'Drivers &amp; Assumptions'!C28)^1,0),0)</f>
        <v>0</v>
      </c>
      <c r="X21" s="24">
        <f>IF(MOD(23,'Drivers &amp; Assumptions'!C26)=0,ROUND('Drivers &amp; Assumptions'!C27*(1+'Drivers &amp; Assumptions'!C28)^1,0),0)</f>
        <v>0</v>
      </c>
      <c r="Y21" s="24">
        <f>IF(MOD(24,'Drivers &amp; Assumptions'!C26)=0,ROUND('Drivers &amp; Assumptions'!C27*(1+'Drivers &amp; Assumptions'!C28)^1,0),0)</f>
        <v>6</v>
      </c>
      <c r="Z21" s="24">
        <f>IF(MOD(25,'Drivers &amp; Assumptions'!C26)=0,ROUND('Drivers &amp; Assumptions'!C27*(1+'Drivers &amp; Assumptions'!C28)^2,0),0)</f>
        <v>0</v>
      </c>
      <c r="AA21" s="24">
        <f>IF(MOD(26,'Drivers &amp; Assumptions'!C26)=0,ROUND('Drivers &amp; Assumptions'!C27*(1+'Drivers &amp; Assumptions'!C28)^2,0),0)</f>
        <v>0</v>
      </c>
      <c r="AB21" s="24">
        <f>IF(MOD(27,'Drivers &amp; Assumptions'!C26)=0,ROUND('Drivers &amp; Assumptions'!C27*(1+'Drivers &amp; Assumptions'!C28)^2,0),0)</f>
        <v>8</v>
      </c>
      <c r="AC21" s="24">
        <f>IF(MOD(28,'Drivers &amp; Assumptions'!C26)=0,ROUND('Drivers &amp; Assumptions'!C27*(1+'Drivers &amp; Assumptions'!C28)^2,0),0)</f>
        <v>0</v>
      </c>
      <c r="AD21" s="24">
        <f>IF(MOD(29,'Drivers &amp; Assumptions'!C26)=0,ROUND('Drivers &amp; Assumptions'!C27*(1+'Drivers &amp; Assumptions'!C28)^2,0),0)</f>
        <v>0</v>
      </c>
      <c r="AE21" s="24">
        <f>IF(MOD(30,'Drivers &amp; Assumptions'!C26)=0,ROUND('Drivers &amp; Assumptions'!C27*(1+'Drivers &amp; Assumptions'!C28)^2,0),0)</f>
        <v>8</v>
      </c>
      <c r="AF21" s="24">
        <f>IF(MOD(31,'Drivers &amp; Assumptions'!C26)=0,ROUND('Drivers &amp; Assumptions'!C27*(1+'Drivers &amp; Assumptions'!C28)^2,0),0)</f>
        <v>0</v>
      </c>
      <c r="AG21" s="24">
        <f>IF(MOD(32,'Drivers &amp; Assumptions'!C26)=0,ROUND('Drivers &amp; Assumptions'!C27*(1+'Drivers &amp; Assumptions'!C28)^2,0),0)</f>
        <v>0</v>
      </c>
      <c r="AH21" s="24">
        <f>IF(MOD(33,'Drivers &amp; Assumptions'!C26)=0,ROUND('Drivers &amp; Assumptions'!C27*(1+'Drivers &amp; Assumptions'!C28)^2,0),0)</f>
        <v>8</v>
      </c>
      <c r="AI21" s="24">
        <f>IF(MOD(34,'Drivers &amp; Assumptions'!C26)=0,ROUND('Drivers &amp; Assumptions'!C27*(1+'Drivers &amp; Assumptions'!C28)^2,0),0)</f>
        <v>0</v>
      </c>
      <c r="AJ21" s="24">
        <f>IF(MOD(35,'Drivers &amp; Assumptions'!C26)=0,ROUND('Drivers &amp; Assumptions'!C27*(1+'Drivers &amp; Assumptions'!C28)^2,0),0)</f>
        <v>0</v>
      </c>
      <c r="AK21" s="24">
        <f>IF(MOD(36,'Drivers &amp; Assumptions'!C26)=0,ROUND('Drivers &amp; Assumptions'!C27*(1+'Drivers &amp; Assumptions'!C28)^2,0),0)</f>
        <v>8</v>
      </c>
      <c r="AL21" s="24">
        <f>IF(MOD(37,'Drivers &amp; Assumptions'!C26)=0,ROUND('Drivers &amp; Assumptions'!C27*(1+'Drivers &amp; Assumptions'!C28)^3,0),0)</f>
        <v>0</v>
      </c>
      <c r="AM21" s="24">
        <f>IF(MOD(38,'Drivers &amp; Assumptions'!C26)=0,ROUND('Drivers &amp; Assumptions'!C27*(1+'Drivers &amp; Assumptions'!C28)^3,0),0)</f>
        <v>0</v>
      </c>
      <c r="AN21" s="24">
        <f>IF(MOD(39,'Drivers &amp; Assumptions'!C26)=0,ROUND('Drivers &amp; Assumptions'!C27*(1+'Drivers &amp; Assumptions'!C28)^3,0),0)</f>
        <v>10</v>
      </c>
      <c r="AO21" s="24">
        <f>IF(MOD(40,'Drivers &amp; Assumptions'!C26)=0,ROUND('Drivers &amp; Assumptions'!C27*(1+'Drivers &amp; Assumptions'!C28)^3,0),0)</f>
        <v>0</v>
      </c>
      <c r="AP21" s="24">
        <f>IF(MOD(41,'Drivers &amp; Assumptions'!C26)=0,ROUND('Drivers &amp; Assumptions'!C27*(1+'Drivers &amp; Assumptions'!C28)^3,0),0)</f>
        <v>0</v>
      </c>
      <c r="AQ21" s="24">
        <f>IF(MOD(42,'Drivers &amp; Assumptions'!C26)=0,ROUND('Drivers &amp; Assumptions'!C27*(1+'Drivers &amp; Assumptions'!C28)^3,0),0)</f>
        <v>10</v>
      </c>
      <c r="AR21" s="24">
        <f>IF(MOD(43,'Drivers &amp; Assumptions'!C26)=0,ROUND('Drivers &amp; Assumptions'!C27*(1+'Drivers &amp; Assumptions'!C28)^3,0),0)</f>
        <v>0</v>
      </c>
      <c r="AS21" s="24">
        <f>IF(MOD(44,'Drivers &amp; Assumptions'!C26)=0,ROUND('Drivers &amp; Assumptions'!C27*(1+'Drivers &amp; Assumptions'!C28)^3,0),0)</f>
        <v>0</v>
      </c>
      <c r="AT21" s="24">
        <f>IF(MOD(45,'Drivers &amp; Assumptions'!C26)=0,ROUND('Drivers &amp; Assumptions'!C27*(1+'Drivers &amp; Assumptions'!C28)^3,0),0)</f>
        <v>10</v>
      </c>
      <c r="AU21" s="24">
        <f>IF(MOD(46,'Drivers &amp; Assumptions'!C26)=0,ROUND('Drivers &amp; Assumptions'!C27*(1+'Drivers &amp; Assumptions'!C28)^3,0),0)</f>
        <v>0</v>
      </c>
      <c r="AV21" s="24">
        <f>IF(MOD(47,'Drivers &amp; Assumptions'!C26)=0,ROUND('Drivers &amp; Assumptions'!C27*(1+'Drivers &amp; Assumptions'!C28)^3,0),0)</f>
        <v>0</v>
      </c>
      <c r="AW21" s="24">
        <f>IF(MOD(48,'Drivers &amp; Assumptions'!C26)=0,ROUND('Drivers &amp; Assumptions'!C27*(1+'Drivers &amp; Assumptions'!C28)^3,0),0)</f>
        <v>10</v>
      </c>
      <c r="AX21" s="24">
        <f>IF(MOD(49,'Drivers &amp; Assumptions'!C26)=0,ROUND('Drivers &amp; Assumptions'!C27*(1+'Drivers &amp; Assumptions'!C28)^4,0),0)</f>
        <v>0</v>
      </c>
      <c r="AY21" s="24">
        <f>IF(MOD(50,'Drivers &amp; Assumptions'!C26)=0,ROUND('Drivers &amp; Assumptions'!C27*(1+'Drivers &amp; Assumptions'!C28)^4,0),0)</f>
        <v>0</v>
      </c>
      <c r="AZ21" s="24">
        <f>IF(MOD(51,'Drivers &amp; Assumptions'!C26)=0,ROUND('Drivers &amp; Assumptions'!C27*(1+'Drivers &amp; Assumptions'!C28)^4,0),0)</f>
        <v>12</v>
      </c>
      <c r="BA21" s="24">
        <f>IF(MOD(52,'Drivers &amp; Assumptions'!C26)=0,ROUND('Drivers &amp; Assumptions'!C27*(1+'Drivers &amp; Assumptions'!C28)^4,0),0)</f>
        <v>0</v>
      </c>
      <c r="BB21" s="24">
        <f>IF(MOD(53,'Drivers &amp; Assumptions'!C26)=0,ROUND('Drivers &amp; Assumptions'!C27*(1+'Drivers &amp; Assumptions'!C28)^4,0),0)</f>
        <v>0</v>
      </c>
      <c r="BC21" s="24">
        <f>IF(MOD(54,'Drivers &amp; Assumptions'!C26)=0,ROUND('Drivers &amp; Assumptions'!C27*(1+'Drivers &amp; Assumptions'!C28)^4,0),0)</f>
        <v>12</v>
      </c>
      <c r="BD21" s="24">
        <f>IF(MOD(55,'Drivers &amp; Assumptions'!C26)=0,ROUND('Drivers &amp; Assumptions'!C27*(1+'Drivers &amp; Assumptions'!C28)^4,0),0)</f>
        <v>0</v>
      </c>
      <c r="BE21" s="24">
        <f>IF(MOD(56,'Drivers &amp; Assumptions'!C26)=0,ROUND('Drivers &amp; Assumptions'!C27*(1+'Drivers &amp; Assumptions'!C28)^4,0),0)</f>
        <v>0</v>
      </c>
      <c r="BF21" s="24">
        <f>IF(MOD(57,'Drivers &amp; Assumptions'!C26)=0,ROUND('Drivers &amp; Assumptions'!C27*(1+'Drivers &amp; Assumptions'!C28)^4,0),0)</f>
        <v>12</v>
      </c>
      <c r="BG21" s="24">
        <f>IF(MOD(58,'Drivers &amp; Assumptions'!C26)=0,ROUND('Drivers &amp; Assumptions'!C27*(1+'Drivers &amp; Assumptions'!C28)^4,0),0)</f>
        <v>0</v>
      </c>
      <c r="BH21" s="24">
        <f>IF(MOD(59,'Drivers &amp; Assumptions'!C26)=0,ROUND('Drivers &amp; Assumptions'!C27*(1+'Drivers &amp; Assumptions'!C28)^4,0),0)</f>
        <v>0</v>
      </c>
      <c r="BI21" s="24">
        <f>IF(MOD(60,'Drivers &amp; Assumptions'!C26)=0,ROUND('Drivers &amp; Assumptions'!C27*(1+'Drivers &amp; Assumptions'!C28)^4,0),0)</f>
        <v>12</v>
      </c>
    </row>
    <row r="22" spans="1:61" ht="15" customHeight="1" x14ac:dyDescent="0.35">
      <c r="A22" s="7" t="s">
        <v>245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24">
        <f>IF(MOD(9,'Drivers &amp; Assumptions'!C26)=0,ROUND('Drivers &amp; Assumptions'!C27*(1+'Drivers &amp; Assumptions'!C28)^0,0),0)</f>
        <v>5</v>
      </c>
      <c r="K22" s="24">
        <f>IF(MOD(10,'Drivers &amp; Assumptions'!C26)=0,ROUND('Drivers &amp; Assumptions'!C27*(1+'Drivers &amp; Assumptions'!C28)^0,0),0)</f>
        <v>0</v>
      </c>
      <c r="L22" s="24">
        <f>IF(MOD(11,'Drivers &amp; Assumptions'!C26)=0,ROUND('Drivers &amp; Assumptions'!C27*(1+'Drivers &amp; Assumptions'!C28)^0,0),0)</f>
        <v>0</v>
      </c>
      <c r="M22" s="24">
        <f>IF(MOD(12,'Drivers &amp; Assumptions'!C26)=0,ROUND('Drivers &amp; Assumptions'!C27*(1+'Drivers &amp; Assumptions'!C28)^0,0),0)</f>
        <v>5</v>
      </c>
      <c r="N22" s="24">
        <f>IF(MOD(13,'Drivers &amp; Assumptions'!C26)=0,ROUND('Drivers &amp; Assumptions'!C27*(1+'Drivers &amp; Assumptions'!C28)^1,0),0)</f>
        <v>0</v>
      </c>
      <c r="O22" s="24">
        <f>IF(MOD(14,'Drivers &amp; Assumptions'!C26)=0,ROUND('Drivers &amp; Assumptions'!C27*(1+'Drivers &amp; Assumptions'!C28)^1,0),0)</f>
        <v>0</v>
      </c>
      <c r="P22" s="24">
        <f>IF(MOD(15,'Drivers &amp; Assumptions'!C26)=0,ROUND('Drivers &amp; Assumptions'!C27*(1+'Drivers &amp; Assumptions'!C28)^1,0),0)</f>
        <v>6</v>
      </c>
      <c r="Q22" s="24">
        <f>IF(MOD(16,'Drivers &amp; Assumptions'!C26)=0,ROUND('Drivers &amp; Assumptions'!C27*(1+'Drivers &amp; Assumptions'!C28)^1,0),0)</f>
        <v>0</v>
      </c>
      <c r="R22" s="24">
        <f>IF(MOD(17,'Drivers &amp; Assumptions'!C26)=0,ROUND('Drivers &amp; Assumptions'!C27*(1+'Drivers &amp; Assumptions'!C28)^1,0),0)</f>
        <v>0</v>
      </c>
      <c r="S22" s="24">
        <f>IF(MOD(18,'Drivers &amp; Assumptions'!C26)=0,ROUND('Drivers &amp; Assumptions'!C27*(1+'Drivers &amp; Assumptions'!C28)^1,0),0)</f>
        <v>6</v>
      </c>
      <c r="T22" s="24">
        <f>IF(MOD(19,'Drivers &amp; Assumptions'!C26)=0,ROUND('Drivers &amp; Assumptions'!C27*(1+'Drivers &amp; Assumptions'!C28)^1,0),0)</f>
        <v>0</v>
      </c>
      <c r="U22" s="24">
        <f>IF(MOD(20,'Drivers &amp; Assumptions'!C26)=0,ROUND('Drivers &amp; Assumptions'!C27*(1+'Drivers &amp; Assumptions'!C28)^1,0),0)</f>
        <v>0</v>
      </c>
      <c r="V22" s="24">
        <f>IF(MOD(21,'Drivers &amp; Assumptions'!C26)=0,ROUND('Drivers &amp; Assumptions'!C27*(1+'Drivers &amp; Assumptions'!C28)^1,0),0)</f>
        <v>6</v>
      </c>
      <c r="W22" s="24">
        <f>IF(MOD(22,'Drivers &amp; Assumptions'!C26)=0,ROUND('Drivers &amp; Assumptions'!C27*(1+'Drivers &amp; Assumptions'!C28)^1,0),0)</f>
        <v>0</v>
      </c>
      <c r="X22" s="24">
        <f>IF(MOD(23,'Drivers &amp; Assumptions'!C26)=0,ROUND('Drivers &amp; Assumptions'!C27*(1+'Drivers &amp; Assumptions'!C28)^1,0),0)</f>
        <v>0</v>
      </c>
      <c r="Y22" s="24">
        <f>IF(MOD(24,'Drivers &amp; Assumptions'!C26)=0,ROUND('Drivers &amp; Assumptions'!C27*(1+'Drivers &amp; Assumptions'!C28)^1,0),0)</f>
        <v>6</v>
      </c>
      <c r="Z22" s="24">
        <f>IF(MOD(25,'Drivers &amp; Assumptions'!C26)=0,ROUND('Drivers &amp; Assumptions'!C27*(1+'Drivers &amp; Assumptions'!C28)^2,0),0)</f>
        <v>0</v>
      </c>
      <c r="AA22" s="24">
        <f>IF(MOD(26,'Drivers &amp; Assumptions'!C26)=0,ROUND('Drivers &amp; Assumptions'!C27*(1+'Drivers &amp; Assumptions'!C28)^2,0),0)</f>
        <v>0</v>
      </c>
      <c r="AB22" s="24">
        <f>IF(MOD(27,'Drivers &amp; Assumptions'!C26)=0,ROUND('Drivers &amp; Assumptions'!C27*(1+'Drivers &amp; Assumptions'!C28)^2,0),0)</f>
        <v>8</v>
      </c>
      <c r="AC22" s="24">
        <f>IF(MOD(28,'Drivers &amp; Assumptions'!C26)=0,ROUND('Drivers &amp; Assumptions'!C27*(1+'Drivers &amp; Assumptions'!C28)^2,0),0)</f>
        <v>0</v>
      </c>
      <c r="AD22" s="24">
        <f>IF(MOD(29,'Drivers &amp; Assumptions'!C26)=0,ROUND('Drivers &amp; Assumptions'!C27*(1+'Drivers &amp; Assumptions'!C28)^2,0),0)</f>
        <v>0</v>
      </c>
      <c r="AE22" s="24">
        <f>IF(MOD(30,'Drivers &amp; Assumptions'!C26)=0,ROUND('Drivers &amp; Assumptions'!C27*(1+'Drivers &amp; Assumptions'!C28)^2,0),0)</f>
        <v>8</v>
      </c>
      <c r="AF22" s="24">
        <f>IF(MOD(31,'Drivers &amp; Assumptions'!C26)=0,ROUND('Drivers &amp; Assumptions'!C27*(1+'Drivers &amp; Assumptions'!C28)^2,0),0)</f>
        <v>0</v>
      </c>
      <c r="AG22" s="24">
        <f>IF(MOD(32,'Drivers &amp; Assumptions'!C26)=0,ROUND('Drivers &amp; Assumptions'!C27*(1+'Drivers &amp; Assumptions'!C28)^2,0),0)</f>
        <v>0</v>
      </c>
      <c r="AH22" s="24">
        <f>IF(MOD(33,'Drivers &amp; Assumptions'!C26)=0,ROUND('Drivers &amp; Assumptions'!C27*(1+'Drivers &amp; Assumptions'!C28)^2,0),0)</f>
        <v>8</v>
      </c>
      <c r="AI22" s="24">
        <f>IF(MOD(34,'Drivers &amp; Assumptions'!C26)=0,ROUND('Drivers &amp; Assumptions'!C27*(1+'Drivers &amp; Assumptions'!C28)^2,0),0)</f>
        <v>0</v>
      </c>
      <c r="AJ22" s="24">
        <f>IF(MOD(35,'Drivers &amp; Assumptions'!C26)=0,ROUND('Drivers &amp; Assumptions'!C27*(1+'Drivers &amp; Assumptions'!C28)^2,0),0)</f>
        <v>0</v>
      </c>
      <c r="AK22" s="24">
        <f>IF(MOD(36,'Drivers &amp; Assumptions'!C26)=0,ROUND('Drivers &amp; Assumptions'!C27*(1+'Drivers &amp; Assumptions'!C28)^2,0),0)</f>
        <v>8</v>
      </c>
      <c r="AL22" s="24">
        <f>IF(MOD(37,'Drivers &amp; Assumptions'!C26)=0,ROUND('Drivers &amp; Assumptions'!C27*(1+'Drivers &amp; Assumptions'!C28)^3,0),0)</f>
        <v>0</v>
      </c>
      <c r="AM22" s="24">
        <f>IF(MOD(38,'Drivers &amp; Assumptions'!C26)=0,ROUND('Drivers &amp; Assumptions'!C27*(1+'Drivers &amp; Assumptions'!C28)^3,0),0)</f>
        <v>0</v>
      </c>
      <c r="AN22" s="24">
        <f>IF(MOD(39,'Drivers &amp; Assumptions'!C26)=0,ROUND('Drivers &amp; Assumptions'!C27*(1+'Drivers &amp; Assumptions'!C28)^3,0),0)</f>
        <v>10</v>
      </c>
      <c r="AO22" s="24">
        <f>IF(MOD(40,'Drivers &amp; Assumptions'!C26)=0,ROUND('Drivers &amp; Assumptions'!C27*(1+'Drivers &amp; Assumptions'!C28)^3,0),0)</f>
        <v>0</v>
      </c>
      <c r="AP22" s="24">
        <f>IF(MOD(41,'Drivers &amp; Assumptions'!C26)=0,ROUND('Drivers &amp; Assumptions'!C27*(1+'Drivers &amp; Assumptions'!C28)^3,0),0)</f>
        <v>0</v>
      </c>
      <c r="AQ22" s="24">
        <f>IF(MOD(42,'Drivers &amp; Assumptions'!C26)=0,ROUND('Drivers &amp; Assumptions'!C27*(1+'Drivers &amp; Assumptions'!C28)^3,0),0)</f>
        <v>10</v>
      </c>
      <c r="AR22" s="24">
        <f>IF(MOD(43,'Drivers &amp; Assumptions'!C26)=0,ROUND('Drivers &amp; Assumptions'!C27*(1+'Drivers &amp; Assumptions'!C28)^3,0),0)</f>
        <v>0</v>
      </c>
      <c r="AS22" s="24">
        <f>IF(MOD(44,'Drivers &amp; Assumptions'!C26)=0,ROUND('Drivers &amp; Assumptions'!C27*(1+'Drivers &amp; Assumptions'!C28)^3,0),0)</f>
        <v>0</v>
      </c>
      <c r="AT22" s="24">
        <f>IF(MOD(45,'Drivers &amp; Assumptions'!C26)=0,ROUND('Drivers &amp; Assumptions'!C27*(1+'Drivers &amp; Assumptions'!C28)^3,0),0)</f>
        <v>10</v>
      </c>
      <c r="AU22" s="24">
        <f>IF(MOD(46,'Drivers &amp; Assumptions'!C26)=0,ROUND('Drivers &amp; Assumptions'!C27*(1+'Drivers &amp; Assumptions'!C28)^3,0),0)</f>
        <v>0</v>
      </c>
      <c r="AV22" s="24">
        <f>IF(MOD(47,'Drivers &amp; Assumptions'!C26)=0,ROUND('Drivers &amp; Assumptions'!C27*(1+'Drivers &amp; Assumptions'!C28)^3,0),0)</f>
        <v>0</v>
      </c>
      <c r="AW22" s="24">
        <f>IF(MOD(48,'Drivers &amp; Assumptions'!C26)=0,ROUND('Drivers &amp; Assumptions'!C27*(1+'Drivers &amp; Assumptions'!C28)^3,0),0)</f>
        <v>10</v>
      </c>
      <c r="AX22" s="24">
        <f>IF(MOD(49,'Drivers &amp; Assumptions'!C26)=0,ROUND('Drivers &amp; Assumptions'!C27*(1+'Drivers &amp; Assumptions'!C28)^4,0),0)</f>
        <v>0</v>
      </c>
      <c r="AY22" s="24">
        <f>IF(MOD(50,'Drivers &amp; Assumptions'!C26)=0,ROUND('Drivers &amp; Assumptions'!C27*(1+'Drivers &amp; Assumptions'!C28)^4,0),0)</f>
        <v>0</v>
      </c>
      <c r="AZ22" s="24">
        <f>IF(MOD(51,'Drivers &amp; Assumptions'!C26)=0,ROUND('Drivers &amp; Assumptions'!C27*(1+'Drivers &amp; Assumptions'!C28)^4,0),0)</f>
        <v>12</v>
      </c>
      <c r="BA22" s="24">
        <f>IF(MOD(52,'Drivers &amp; Assumptions'!C26)=0,ROUND('Drivers &amp; Assumptions'!C27*(1+'Drivers &amp; Assumptions'!C28)^4,0),0)</f>
        <v>0</v>
      </c>
      <c r="BB22" s="24">
        <f>IF(MOD(53,'Drivers &amp; Assumptions'!C26)=0,ROUND('Drivers &amp; Assumptions'!C27*(1+'Drivers &amp; Assumptions'!C28)^4,0),0)</f>
        <v>0</v>
      </c>
      <c r="BC22" s="24">
        <f>IF(MOD(54,'Drivers &amp; Assumptions'!C26)=0,ROUND('Drivers &amp; Assumptions'!C27*(1+'Drivers &amp; Assumptions'!C28)^4,0),0)</f>
        <v>12</v>
      </c>
      <c r="BD22" s="24">
        <f>IF(MOD(55,'Drivers &amp; Assumptions'!C26)=0,ROUND('Drivers &amp; Assumptions'!C27*(1+'Drivers &amp; Assumptions'!C28)^4,0),0)</f>
        <v>0</v>
      </c>
      <c r="BE22" s="24">
        <f>IF(MOD(56,'Drivers &amp; Assumptions'!C26)=0,ROUND('Drivers &amp; Assumptions'!C27*(1+'Drivers &amp; Assumptions'!C28)^4,0),0)</f>
        <v>0</v>
      </c>
      <c r="BF22" s="24">
        <f>IF(MOD(57,'Drivers &amp; Assumptions'!C26)=0,ROUND('Drivers &amp; Assumptions'!C27*(1+'Drivers &amp; Assumptions'!C28)^4,0),0)</f>
        <v>12</v>
      </c>
      <c r="BG22" s="24">
        <f>IF(MOD(58,'Drivers &amp; Assumptions'!C26)=0,ROUND('Drivers &amp; Assumptions'!C27*(1+'Drivers &amp; Assumptions'!C28)^4,0),0)</f>
        <v>0</v>
      </c>
      <c r="BH22" s="24">
        <f>IF(MOD(59,'Drivers &amp; Assumptions'!C26)=0,ROUND('Drivers &amp; Assumptions'!C27*(1+'Drivers &amp; Assumptions'!C28)^4,0),0)</f>
        <v>0</v>
      </c>
      <c r="BI22" s="24">
        <f>IF(MOD(60,'Drivers &amp; Assumptions'!C26)=0,ROUND('Drivers &amp; Assumptions'!C27*(1+'Drivers &amp; Assumptions'!C28)^4,0),0)</f>
        <v>12</v>
      </c>
    </row>
    <row r="23" spans="1:61" ht="15" customHeight="1" x14ac:dyDescent="0.35">
      <c r="A23" s="7" t="s">
        <v>246</v>
      </c>
      <c r="B23" s="33">
        <v>0</v>
      </c>
      <c r="C23" s="33">
        <v>0</v>
      </c>
      <c r="D23" s="33">
        <v>0</v>
      </c>
      <c r="E23" s="33">
        <v>0</v>
      </c>
      <c r="F23" s="33">
        <v>0</v>
      </c>
      <c r="G23" s="33">
        <v>0</v>
      </c>
      <c r="H23" s="33">
        <v>0</v>
      </c>
      <c r="I23" s="33">
        <v>0</v>
      </c>
      <c r="J23" s="24">
        <f>IF(MOD(9,'Drivers &amp; Assumptions'!C26)=0,ROUND('Drivers &amp; Assumptions'!C27*(1+'Drivers &amp; Assumptions'!C28)^0,0),0)</f>
        <v>5</v>
      </c>
      <c r="K23" s="24">
        <f>IF(MOD(10,'Drivers &amp; Assumptions'!C26)=0,ROUND('Drivers &amp; Assumptions'!C27*(1+'Drivers &amp; Assumptions'!C28)^0,0),0)</f>
        <v>0</v>
      </c>
      <c r="L23" s="24">
        <f>IF(MOD(11,'Drivers &amp; Assumptions'!C26)=0,ROUND('Drivers &amp; Assumptions'!C27*(1+'Drivers &amp; Assumptions'!C28)^0,0),0)</f>
        <v>0</v>
      </c>
      <c r="M23" s="24">
        <f>IF(MOD(12,'Drivers &amp; Assumptions'!C26)=0,ROUND('Drivers &amp; Assumptions'!C27*(1+'Drivers &amp; Assumptions'!C28)^0,0),0)</f>
        <v>5</v>
      </c>
      <c r="N23" s="24">
        <f>IF(MOD(13,'Drivers &amp; Assumptions'!C26)=0,ROUND('Drivers &amp; Assumptions'!C27*(1+'Drivers &amp; Assumptions'!C28)^1,0),0)</f>
        <v>0</v>
      </c>
      <c r="O23" s="24">
        <f>IF(MOD(14,'Drivers &amp; Assumptions'!C26)=0,ROUND('Drivers &amp; Assumptions'!C27*(1+'Drivers &amp; Assumptions'!C28)^1,0),0)</f>
        <v>0</v>
      </c>
      <c r="P23" s="24">
        <f>IF(MOD(15,'Drivers &amp; Assumptions'!C26)=0,ROUND('Drivers &amp; Assumptions'!C27*(1+'Drivers &amp; Assumptions'!C28)^1,0),0)</f>
        <v>6</v>
      </c>
      <c r="Q23" s="24">
        <f>IF(MOD(16,'Drivers &amp; Assumptions'!C26)=0,ROUND('Drivers &amp; Assumptions'!C27*(1+'Drivers &amp; Assumptions'!C28)^1,0),0)</f>
        <v>0</v>
      </c>
      <c r="R23" s="24">
        <f>IF(MOD(17,'Drivers &amp; Assumptions'!C26)=0,ROUND('Drivers &amp; Assumptions'!C27*(1+'Drivers &amp; Assumptions'!C28)^1,0),0)</f>
        <v>0</v>
      </c>
      <c r="S23" s="24">
        <f>IF(MOD(18,'Drivers &amp; Assumptions'!C26)=0,ROUND('Drivers &amp; Assumptions'!C27*(1+'Drivers &amp; Assumptions'!C28)^1,0),0)</f>
        <v>6</v>
      </c>
      <c r="T23" s="24">
        <f>IF(MOD(19,'Drivers &amp; Assumptions'!C26)=0,ROUND('Drivers &amp; Assumptions'!C27*(1+'Drivers &amp; Assumptions'!C28)^1,0),0)</f>
        <v>0</v>
      </c>
      <c r="U23" s="24">
        <f>IF(MOD(20,'Drivers &amp; Assumptions'!C26)=0,ROUND('Drivers &amp; Assumptions'!C27*(1+'Drivers &amp; Assumptions'!C28)^1,0),0)</f>
        <v>0</v>
      </c>
      <c r="V23" s="24">
        <f>IF(MOD(21,'Drivers &amp; Assumptions'!C26)=0,ROUND('Drivers &amp; Assumptions'!C27*(1+'Drivers &amp; Assumptions'!C28)^1,0),0)</f>
        <v>6</v>
      </c>
      <c r="W23" s="24">
        <f>IF(MOD(22,'Drivers &amp; Assumptions'!C26)=0,ROUND('Drivers &amp; Assumptions'!C27*(1+'Drivers &amp; Assumptions'!C28)^1,0),0)</f>
        <v>0</v>
      </c>
      <c r="X23" s="24">
        <f>IF(MOD(23,'Drivers &amp; Assumptions'!C26)=0,ROUND('Drivers &amp; Assumptions'!C27*(1+'Drivers &amp; Assumptions'!C28)^1,0),0)</f>
        <v>0</v>
      </c>
      <c r="Y23" s="24">
        <f>IF(MOD(24,'Drivers &amp; Assumptions'!C26)=0,ROUND('Drivers &amp; Assumptions'!C27*(1+'Drivers &amp; Assumptions'!C28)^1,0),0)</f>
        <v>6</v>
      </c>
      <c r="Z23" s="24">
        <f>IF(MOD(25,'Drivers &amp; Assumptions'!C26)=0,ROUND('Drivers &amp; Assumptions'!C27*(1+'Drivers &amp; Assumptions'!C28)^2,0),0)</f>
        <v>0</v>
      </c>
      <c r="AA23" s="24">
        <f>IF(MOD(26,'Drivers &amp; Assumptions'!C26)=0,ROUND('Drivers &amp; Assumptions'!C27*(1+'Drivers &amp; Assumptions'!C28)^2,0),0)</f>
        <v>0</v>
      </c>
      <c r="AB23" s="24">
        <f>IF(MOD(27,'Drivers &amp; Assumptions'!C26)=0,ROUND('Drivers &amp; Assumptions'!C27*(1+'Drivers &amp; Assumptions'!C28)^2,0),0)</f>
        <v>8</v>
      </c>
      <c r="AC23" s="24">
        <f>IF(MOD(28,'Drivers &amp; Assumptions'!C26)=0,ROUND('Drivers &amp; Assumptions'!C27*(1+'Drivers &amp; Assumptions'!C28)^2,0),0)</f>
        <v>0</v>
      </c>
      <c r="AD23" s="24">
        <f>IF(MOD(29,'Drivers &amp; Assumptions'!C26)=0,ROUND('Drivers &amp; Assumptions'!C27*(1+'Drivers &amp; Assumptions'!C28)^2,0),0)</f>
        <v>0</v>
      </c>
      <c r="AE23" s="24">
        <f>IF(MOD(30,'Drivers &amp; Assumptions'!C26)=0,ROUND('Drivers &amp; Assumptions'!C27*(1+'Drivers &amp; Assumptions'!C28)^2,0),0)</f>
        <v>8</v>
      </c>
      <c r="AF23" s="24">
        <f>IF(MOD(31,'Drivers &amp; Assumptions'!C26)=0,ROUND('Drivers &amp; Assumptions'!C27*(1+'Drivers &amp; Assumptions'!C28)^2,0),0)</f>
        <v>0</v>
      </c>
      <c r="AG23" s="24">
        <f>IF(MOD(32,'Drivers &amp; Assumptions'!C26)=0,ROUND('Drivers &amp; Assumptions'!C27*(1+'Drivers &amp; Assumptions'!C28)^2,0),0)</f>
        <v>0</v>
      </c>
      <c r="AH23" s="24">
        <f>IF(MOD(33,'Drivers &amp; Assumptions'!C26)=0,ROUND('Drivers &amp; Assumptions'!C27*(1+'Drivers &amp; Assumptions'!C28)^2,0),0)</f>
        <v>8</v>
      </c>
      <c r="AI23" s="24">
        <f>IF(MOD(34,'Drivers &amp; Assumptions'!C26)=0,ROUND('Drivers &amp; Assumptions'!C27*(1+'Drivers &amp; Assumptions'!C28)^2,0),0)</f>
        <v>0</v>
      </c>
      <c r="AJ23" s="24">
        <f>IF(MOD(35,'Drivers &amp; Assumptions'!C26)=0,ROUND('Drivers &amp; Assumptions'!C27*(1+'Drivers &amp; Assumptions'!C28)^2,0),0)</f>
        <v>0</v>
      </c>
      <c r="AK23" s="24">
        <f>IF(MOD(36,'Drivers &amp; Assumptions'!C26)=0,ROUND('Drivers &amp; Assumptions'!C27*(1+'Drivers &amp; Assumptions'!C28)^2,0),0)</f>
        <v>8</v>
      </c>
      <c r="AL23" s="24">
        <f>IF(MOD(37,'Drivers &amp; Assumptions'!C26)=0,ROUND('Drivers &amp; Assumptions'!C27*(1+'Drivers &amp; Assumptions'!C28)^3,0),0)</f>
        <v>0</v>
      </c>
      <c r="AM23" s="24">
        <f>IF(MOD(38,'Drivers &amp; Assumptions'!C26)=0,ROUND('Drivers &amp; Assumptions'!C27*(1+'Drivers &amp; Assumptions'!C28)^3,0),0)</f>
        <v>0</v>
      </c>
      <c r="AN23" s="24">
        <f>IF(MOD(39,'Drivers &amp; Assumptions'!C26)=0,ROUND('Drivers &amp; Assumptions'!C27*(1+'Drivers &amp; Assumptions'!C28)^3,0),0)</f>
        <v>10</v>
      </c>
      <c r="AO23" s="24">
        <f>IF(MOD(40,'Drivers &amp; Assumptions'!C26)=0,ROUND('Drivers &amp; Assumptions'!C27*(1+'Drivers &amp; Assumptions'!C28)^3,0),0)</f>
        <v>0</v>
      </c>
      <c r="AP23" s="24">
        <f>IF(MOD(41,'Drivers &amp; Assumptions'!C26)=0,ROUND('Drivers &amp; Assumptions'!C27*(1+'Drivers &amp; Assumptions'!C28)^3,0),0)</f>
        <v>0</v>
      </c>
      <c r="AQ23" s="24">
        <f>IF(MOD(42,'Drivers &amp; Assumptions'!C26)=0,ROUND('Drivers &amp; Assumptions'!C27*(1+'Drivers &amp; Assumptions'!C28)^3,0),0)</f>
        <v>10</v>
      </c>
      <c r="AR23" s="24">
        <f>IF(MOD(43,'Drivers &amp; Assumptions'!C26)=0,ROUND('Drivers &amp; Assumptions'!C27*(1+'Drivers &amp; Assumptions'!C28)^3,0),0)</f>
        <v>0</v>
      </c>
      <c r="AS23" s="24">
        <f>IF(MOD(44,'Drivers &amp; Assumptions'!C26)=0,ROUND('Drivers &amp; Assumptions'!C27*(1+'Drivers &amp; Assumptions'!C28)^3,0),0)</f>
        <v>0</v>
      </c>
      <c r="AT23" s="24">
        <f>IF(MOD(45,'Drivers &amp; Assumptions'!C26)=0,ROUND('Drivers &amp; Assumptions'!C27*(1+'Drivers &amp; Assumptions'!C28)^3,0),0)</f>
        <v>10</v>
      </c>
      <c r="AU23" s="24">
        <f>IF(MOD(46,'Drivers &amp; Assumptions'!C26)=0,ROUND('Drivers &amp; Assumptions'!C27*(1+'Drivers &amp; Assumptions'!C28)^3,0),0)</f>
        <v>0</v>
      </c>
      <c r="AV23" s="24">
        <f>IF(MOD(47,'Drivers &amp; Assumptions'!C26)=0,ROUND('Drivers &amp; Assumptions'!C27*(1+'Drivers &amp; Assumptions'!C28)^3,0),0)</f>
        <v>0</v>
      </c>
      <c r="AW23" s="24">
        <f>IF(MOD(48,'Drivers &amp; Assumptions'!C26)=0,ROUND('Drivers &amp; Assumptions'!C27*(1+'Drivers &amp; Assumptions'!C28)^3,0),0)</f>
        <v>10</v>
      </c>
      <c r="AX23" s="24">
        <f>IF(MOD(49,'Drivers &amp; Assumptions'!C26)=0,ROUND('Drivers &amp; Assumptions'!C27*(1+'Drivers &amp; Assumptions'!C28)^4,0),0)</f>
        <v>0</v>
      </c>
      <c r="AY23" s="24">
        <f>IF(MOD(50,'Drivers &amp; Assumptions'!C26)=0,ROUND('Drivers &amp; Assumptions'!C27*(1+'Drivers &amp; Assumptions'!C28)^4,0),0)</f>
        <v>0</v>
      </c>
      <c r="AZ23" s="24">
        <f>IF(MOD(51,'Drivers &amp; Assumptions'!C26)=0,ROUND('Drivers &amp; Assumptions'!C27*(1+'Drivers &amp; Assumptions'!C28)^4,0),0)</f>
        <v>12</v>
      </c>
      <c r="BA23" s="24">
        <f>IF(MOD(52,'Drivers &amp; Assumptions'!C26)=0,ROUND('Drivers &amp; Assumptions'!C27*(1+'Drivers &amp; Assumptions'!C28)^4,0),0)</f>
        <v>0</v>
      </c>
      <c r="BB23" s="24">
        <f>IF(MOD(53,'Drivers &amp; Assumptions'!C26)=0,ROUND('Drivers &amp; Assumptions'!C27*(1+'Drivers &amp; Assumptions'!C28)^4,0),0)</f>
        <v>0</v>
      </c>
      <c r="BC23" s="24">
        <f>IF(MOD(54,'Drivers &amp; Assumptions'!C26)=0,ROUND('Drivers &amp; Assumptions'!C27*(1+'Drivers &amp; Assumptions'!C28)^4,0),0)</f>
        <v>12</v>
      </c>
      <c r="BD23" s="24">
        <f>IF(MOD(55,'Drivers &amp; Assumptions'!C26)=0,ROUND('Drivers &amp; Assumptions'!C27*(1+'Drivers &amp; Assumptions'!C28)^4,0),0)</f>
        <v>0</v>
      </c>
      <c r="BE23" s="24">
        <f>IF(MOD(56,'Drivers &amp; Assumptions'!C26)=0,ROUND('Drivers &amp; Assumptions'!C27*(1+'Drivers &amp; Assumptions'!C28)^4,0),0)</f>
        <v>0</v>
      </c>
      <c r="BF23" s="24">
        <f>IF(MOD(57,'Drivers &amp; Assumptions'!C26)=0,ROUND('Drivers &amp; Assumptions'!C27*(1+'Drivers &amp; Assumptions'!C28)^4,0),0)</f>
        <v>12</v>
      </c>
      <c r="BG23" s="24">
        <f>IF(MOD(58,'Drivers &amp; Assumptions'!C26)=0,ROUND('Drivers &amp; Assumptions'!C27*(1+'Drivers &amp; Assumptions'!C28)^4,0),0)</f>
        <v>0</v>
      </c>
      <c r="BH23" s="24">
        <f>IF(MOD(59,'Drivers &amp; Assumptions'!C26)=0,ROUND('Drivers &amp; Assumptions'!C27*(1+'Drivers &amp; Assumptions'!C28)^4,0),0)</f>
        <v>0</v>
      </c>
      <c r="BI23" s="24">
        <f>IF(MOD(60,'Drivers &amp; Assumptions'!C26)=0,ROUND('Drivers &amp; Assumptions'!C27*(1+'Drivers &amp; Assumptions'!C28)^4,0),0)</f>
        <v>12</v>
      </c>
    </row>
    <row r="24" spans="1:61" ht="15" customHeight="1" x14ac:dyDescent="0.35">
      <c r="A24" s="7" t="s">
        <v>247</v>
      </c>
      <c r="B24" s="33">
        <v>0</v>
      </c>
      <c r="C24" s="33">
        <v>0</v>
      </c>
      <c r="D24" s="33">
        <v>0</v>
      </c>
      <c r="E24" s="33">
        <v>0</v>
      </c>
      <c r="F24" s="33">
        <v>0</v>
      </c>
      <c r="G24" s="33">
        <v>0</v>
      </c>
      <c r="H24" s="33">
        <v>0</v>
      </c>
      <c r="I24" s="33">
        <v>0</v>
      </c>
      <c r="J24" s="24">
        <f>IF(MOD(9,'Drivers &amp; Assumptions'!C26)=0,ROUND('Drivers &amp; Assumptions'!C27*(1+'Drivers &amp; Assumptions'!C28)^0,0),0)</f>
        <v>5</v>
      </c>
      <c r="K24" s="24">
        <f>IF(MOD(10,'Drivers &amp; Assumptions'!C26)=0,ROUND('Drivers &amp; Assumptions'!C27*(1+'Drivers &amp; Assumptions'!C28)^0,0),0)</f>
        <v>0</v>
      </c>
      <c r="L24" s="24">
        <f>IF(MOD(11,'Drivers &amp; Assumptions'!C26)=0,ROUND('Drivers &amp; Assumptions'!C27*(1+'Drivers &amp; Assumptions'!C28)^0,0),0)</f>
        <v>0</v>
      </c>
      <c r="M24" s="24">
        <f>IF(MOD(12,'Drivers &amp; Assumptions'!C26)=0,ROUND('Drivers &amp; Assumptions'!C27*(1+'Drivers &amp; Assumptions'!C28)^0,0),0)</f>
        <v>5</v>
      </c>
      <c r="N24" s="24">
        <f>IF(MOD(13,'Drivers &amp; Assumptions'!C26)=0,ROUND('Drivers &amp; Assumptions'!C27*(1+'Drivers &amp; Assumptions'!C28)^1,0),0)</f>
        <v>0</v>
      </c>
      <c r="O24" s="24">
        <f>IF(MOD(14,'Drivers &amp; Assumptions'!C26)=0,ROUND('Drivers &amp; Assumptions'!C27*(1+'Drivers &amp; Assumptions'!C28)^1,0),0)</f>
        <v>0</v>
      </c>
      <c r="P24" s="24">
        <f>IF(MOD(15,'Drivers &amp; Assumptions'!C26)=0,ROUND('Drivers &amp; Assumptions'!C27*(1+'Drivers &amp; Assumptions'!C28)^1,0),0)</f>
        <v>6</v>
      </c>
      <c r="Q24" s="24">
        <f>IF(MOD(16,'Drivers &amp; Assumptions'!C26)=0,ROUND('Drivers &amp; Assumptions'!C27*(1+'Drivers &amp; Assumptions'!C28)^1,0),0)</f>
        <v>0</v>
      </c>
      <c r="R24" s="24">
        <f>IF(MOD(17,'Drivers &amp; Assumptions'!C26)=0,ROUND('Drivers &amp; Assumptions'!C27*(1+'Drivers &amp; Assumptions'!C28)^1,0),0)</f>
        <v>0</v>
      </c>
      <c r="S24" s="24">
        <f>IF(MOD(18,'Drivers &amp; Assumptions'!C26)=0,ROUND('Drivers &amp; Assumptions'!C27*(1+'Drivers &amp; Assumptions'!C28)^1,0),0)</f>
        <v>6</v>
      </c>
      <c r="T24" s="24">
        <f>IF(MOD(19,'Drivers &amp; Assumptions'!C26)=0,ROUND('Drivers &amp; Assumptions'!C27*(1+'Drivers &amp; Assumptions'!C28)^1,0),0)</f>
        <v>0</v>
      </c>
      <c r="U24" s="24">
        <f>IF(MOD(20,'Drivers &amp; Assumptions'!C26)=0,ROUND('Drivers &amp; Assumptions'!C27*(1+'Drivers &amp; Assumptions'!C28)^1,0),0)</f>
        <v>0</v>
      </c>
      <c r="V24" s="24">
        <f>IF(MOD(21,'Drivers &amp; Assumptions'!C26)=0,ROUND('Drivers &amp; Assumptions'!C27*(1+'Drivers &amp; Assumptions'!C28)^1,0),0)</f>
        <v>6</v>
      </c>
      <c r="W24" s="24">
        <f>IF(MOD(22,'Drivers &amp; Assumptions'!C26)=0,ROUND('Drivers &amp; Assumptions'!C27*(1+'Drivers &amp; Assumptions'!C28)^1,0),0)</f>
        <v>0</v>
      </c>
      <c r="X24" s="24">
        <f>IF(MOD(23,'Drivers &amp; Assumptions'!C26)=0,ROUND('Drivers &amp; Assumptions'!C27*(1+'Drivers &amp; Assumptions'!C28)^1,0),0)</f>
        <v>0</v>
      </c>
      <c r="Y24" s="24">
        <f>IF(MOD(24,'Drivers &amp; Assumptions'!C26)=0,ROUND('Drivers &amp; Assumptions'!C27*(1+'Drivers &amp; Assumptions'!C28)^1,0),0)</f>
        <v>6</v>
      </c>
      <c r="Z24" s="24">
        <f>IF(MOD(25,'Drivers &amp; Assumptions'!C26)=0,ROUND('Drivers &amp; Assumptions'!C27*(1+'Drivers &amp; Assumptions'!C28)^2,0),0)</f>
        <v>0</v>
      </c>
      <c r="AA24" s="24">
        <f>IF(MOD(26,'Drivers &amp; Assumptions'!C26)=0,ROUND('Drivers &amp; Assumptions'!C27*(1+'Drivers &amp; Assumptions'!C28)^2,0),0)</f>
        <v>0</v>
      </c>
      <c r="AB24" s="24">
        <f>IF(MOD(27,'Drivers &amp; Assumptions'!C26)=0,ROUND('Drivers &amp; Assumptions'!C27*(1+'Drivers &amp; Assumptions'!C28)^2,0),0)</f>
        <v>8</v>
      </c>
      <c r="AC24" s="24">
        <f>IF(MOD(28,'Drivers &amp; Assumptions'!C26)=0,ROUND('Drivers &amp; Assumptions'!C27*(1+'Drivers &amp; Assumptions'!C28)^2,0),0)</f>
        <v>0</v>
      </c>
      <c r="AD24" s="24">
        <f>IF(MOD(29,'Drivers &amp; Assumptions'!C26)=0,ROUND('Drivers &amp; Assumptions'!C27*(1+'Drivers &amp; Assumptions'!C28)^2,0),0)</f>
        <v>0</v>
      </c>
      <c r="AE24" s="24">
        <f>IF(MOD(30,'Drivers &amp; Assumptions'!C26)=0,ROUND('Drivers &amp; Assumptions'!C27*(1+'Drivers &amp; Assumptions'!C28)^2,0),0)</f>
        <v>8</v>
      </c>
      <c r="AF24" s="24">
        <f>IF(MOD(31,'Drivers &amp; Assumptions'!C26)=0,ROUND('Drivers &amp; Assumptions'!C27*(1+'Drivers &amp; Assumptions'!C28)^2,0),0)</f>
        <v>0</v>
      </c>
      <c r="AG24" s="24">
        <f>IF(MOD(32,'Drivers &amp; Assumptions'!C26)=0,ROUND('Drivers &amp; Assumptions'!C27*(1+'Drivers &amp; Assumptions'!C28)^2,0),0)</f>
        <v>0</v>
      </c>
      <c r="AH24" s="24">
        <f>IF(MOD(33,'Drivers &amp; Assumptions'!C26)=0,ROUND('Drivers &amp; Assumptions'!C27*(1+'Drivers &amp; Assumptions'!C28)^2,0),0)</f>
        <v>8</v>
      </c>
      <c r="AI24" s="24">
        <f>IF(MOD(34,'Drivers &amp; Assumptions'!C26)=0,ROUND('Drivers &amp; Assumptions'!C27*(1+'Drivers &amp; Assumptions'!C28)^2,0),0)</f>
        <v>0</v>
      </c>
      <c r="AJ24" s="24">
        <f>IF(MOD(35,'Drivers &amp; Assumptions'!C26)=0,ROUND('Drivers &amp; Assumptions'!C27*(1+'Drivers &amp; Assumptions'!C28)^2,0),0)</f>
        <v>0</v>
      </c>
      <c r="AK24" s="24">
        <f>IF(MOD(36,'Drivers &amp; Assumptions'!C26)=0,ROUND('Drivers &amp; Assumptions'!C27*(1+'Drivers &amp; Assumptions'!C28)^2,0),0)</f>
        <v>8</v>
      </c>
      <c r="AL24" s="24">
        <f>IF(MOD(37,'Drivers &amp; Assumptions'!C26)=0,ROUND('Drivers &amp; Assumptions'!C27*(1+'Drivers &amp; Assumptions'!C28)^3,0),0)</f>
        <v>0</v>
      </c>
      <c r="AM24" s="24">
        <f>IF(MOD(38,'Drivers &amp; Assumptions'!C26)=0,ROUND('Drivers &amp; Assumptions'!C27*(1+'Drivers &amp; Assumptions'!C28)^3,0),0)</f>
        <v>0</v>
      </c>
      <c r="AN24" s="24">
        <f>IF(MOD(39,'Drivers &amp; Assumptions'!C26)=0,ROUND('Drivers &amp; Assumptions'!C27*(1+'Drivers &amp; Assumptions'!C28)^3,0),0)</f>
        <v>10</v>
      </c>
      <c r="AO24" s="24">
        <f>IF(MOD(40,'Drivers &amp; Assumptions'!C26)=0,ROUND('Drivers &amp; Assumptions'!C27*(1+'Drivers &amp; Assumptions'!C28)^3,0),0)</f>
        <v>0</v>
      </c>
      <c r="AP24" s="24">
        <f>IF(MOD(41,'Drivers &amp; Assumptions'!C26)=0,ROUND('Drivers &amp; Assumptions'!C27*(1+'Drivers &amp; Assumptions'!C28)^3,0),0)</f>
        <v>0</v>
      </c>
      <c r="AQ24" s="24">
        <f>IF(MOD(42,'Drivers &amp; Assumptions'!C26)=0,ROUND('Drivers &amp; Assumptions'!C27*(1+'Drivers &amp; Assumptions'!C28)^3,0),0)</f>
        <v>10</v>
      </c>
      <c r="AR24" s="24">
        <f>IF(MOD(43,'Drivers &amp; Assumptions'!C26)=0,ROUND('Drivers &amp; Assumptions'!C27*(1+'Drivers &amp; Assumptions'!C28)^3,0),0)</f>
        <v>0</v>
      </c>
      <c r="AS24" s="24">
        <f>IF(MOD(44,'Drivers &amp; Assumptions'!C26)=0,ROUND('Drivers &amp; Assumptions'!C27*(1+'Drivers &amp; Assumptions'!C28)^3,0),0)</f>
        <v>0</v>
      </c>
      <c r="AT24" s="24">
        <f>IF(MOD(45,'Drivers &amp; Assumptions'!C26)=0,ROUND('Drivers &amp; Assumptions'!C27*(1+'Drivers &amp; Assumptions'!C28)^3,0),0)</f>
        <v>10</v>
      </c>
      <c r="AU24" s="24">
        <f>IF(MOD(46,'Drivers &amp; Assumptions'!C26)=0,ROUND('Drivers &amp; Assumptions'!C27*(1+'Drivers &amp; Assumptions'!C28)^3,0),0)</f>
        <v>0</v>
      </c>
      <c r="AV24" s="24">
        <f>IF(MOD(47,'Drivers &amp; Assumptions'!C26)=0,ROUND('Drivers &amp; Assumptions'!C27*(1+'Drivers &amp; Assumptions'!C28)^3,0),0)</f>
        <v>0</v>
      </c>
      <c r="AW24" s="24">
        <f>IF(MOD(48,'Drivers &amp; Assumptions'!C26)=0,ROUND('Drivers &amp; Assumptions'!C27*(1+'Drivers &amp; Assumptions'!C28)^3,0),0)</f>
        <v>10</v>
      </c>
      <c r="AX24" s="24">
        <f>IF(MOD(49,'Drivers &amp; Assumptions'!C26)=0,ROUND('Drivers &amp; Assumptions'!C27*(1+'Drivers &amp; Assumptions'!C28)^4,0),0)</f>
        <v>0</v>
      </c>
      <c r="AY24" s="24">
        <f>IF(MOD(50,'Drivers &amp; Assumptions'!C26)=0,ROUND('Drivers &amp; Assumptions'!C27*(1+'Drivers &amp; Assumptions'!C28)^4,0),0)</f>
        <v>0</v>
      </c>
      <c r="AZ24" s="24">
        <f>IF(MOD(51,'Drivers &amp; Assumptions'!C26)=0,ROUND('Drivers &amp; Assumptions'!C27*(1+'Drivers &amp; Assumptions'!C28)^4,0),0)</f>
        <v>12</v>
      </c>
      <c r="BA24" s="24">
        <f>IF(MOD(52,'Drivers &amp; Assumptions'!C26)=0,ROUND('Drivers &amp; Assumptions'!C27*(1+'Drivers &amp; Assumptions'!C28)^4,0),0)</f>
        <v>0</v>
      </c>
      <c r="BB24" s="24">
        <f>IF(MOD(53,'Drivers &amp; Assumptions'!C26)=0,ROUND('Drivers &amp; Assumptions'!C27*(1+'Drivers &amp; Assumptions'!C28)^4,0),0)</f>
        <v>0</v>
      </c>
      <c r="BC24" s="24">
        <f>IF(MOD(54,'Drivers &amp; Assumptions'!C26)=0,ROUND('Drivers &amp; Assumptions'!C27*(1+'Drivers &amp; Assumptions'!C28)^4,0),0)</f>
        <v>12</v>
      </c>
      <c r="BD24" s="24">
        <f>IF(MOD(55,'Drivers &amp; Assumptions'!C26)=0,ROUND('Drivers &amp; Assumptions'!C27*(1+'Drivers &amp; Assumptions'!C28)^4,0),0)</f>
        <v>0</v>
      </c>
      <c r="BE24" s="24">
        <f>IF(MOD(56,'Drivers &amp; Assumptions'!C26)=0,ROUND('Drivers &amp; Assumptions'!C27*(1+'Drivers &amp; Assumptions'!C28)^4,0),0)</f>
        <v>0</v>
      </c>
      <c r="BF24" s="24">
        <f>IF(MOD(57,'Drivers &amp; Assumptions'!C26)=0,ROUND('Drivers &amp; Assumptions'!C27*(1+'Drivers &amp; Assumptions'!C28)^4,0),0)</f>
        <v>12</v>
      </c>
      <c r="BG24" s="24">
        <f>IF(MOD(58,'Drivers &amp; Assumptions'!C26)=0,ROUND('Drivers &amp; Assumptions'!C27*(1+'Drivers &amp; Assumptions'!C28)^4,0),0)</f>
        <v>0</v>
      </c>
      <c r="BH24" s="24">
        <f>IF(MOD(59,'Drivers &amp; Assumptions'!C26)=0,ROUND('Drivers &amp; Assumptions'!C27*(1+'Drivers &amp; Assumptions'!C28)^4,0),0)</f>
        <v>0</v>
      </c>
      <c r="BI24" s="24">
        <f>IF(MOD(60,'Drivers &amp; Assumptions'!C26)=0,ROUND('Drivers &amp; Assumptions'!C27*(1+'Drivers &amp; Assumptions'!C28)^4,0),0)</f>
        <v>12</v>
      </c>
    </row>
    <row r="25" spans="1:61" ht="15" customHeight="1" x14ac:dyDescent="0.35">
      <c r="A25" s="7" t="s">
        <v>248</v>
      </c>
      <c r="B25" s="33">
        <v>0</v>
      </c>
      <c r="C25" s="33">
        <v>0</v>
      </c>
      <c r="D25" s="33">
        <v>0</v>
      </c>
      <c r="E25" s="33">
        <v>0</v>
      </c>
      <c r="F25" s="33">
        <v>0</v>
      </c>
      <c r="G25" s="33">
        <v>0</v>
      </c>
      <c r="H25" s="33">
        <v>0</v>
      </c>
      <c r="I25" s="33">
        <v>0</v>
      </c>
      <c r="J25" s="24">
        <f>IF(MOD(9,'Drivers &amp; Assumptions'!C26)=0,ROUND('Drivers &amp; Assumptions'!C27*(1+'Drivers &amp; Assumptions'!C28)^0,0),0)</f>
        <v>5</v>
      </c>
      <c r="K25" s="24">
        <f>IF(MOD(10,'Drivers &amp; Assumptions'!C26)=0,ROUND('Drivers &amp; Assumptions'!C27*(1+'Drivers &amp; Assumptions'!C28)^0,0),0)</f>
        <v>0</v>
      </c>
      <c r="L25" s="24">
        <f>IF(MOD(11,'Drivers &amp; Assumptions'!C26)=0,ROUND('Drivers &amp; Assumptions'!C27*(1+'Drivers &amp; Assumptions'!C28)^0,0),0)</f>
        <v>0</v>
      </c>
      <c r="M25" s="24">
        <f>IF(MOD(12,'Drivers &amp; Assumptions'!C26)=0,ROUND('Drivers &amp; Assumptions'!C27*(1+'Drivers &amp; Assumptions'!C28)^0,0),0)</f>
        <v>5</v>
      </c>
      <c r="N25" s="24">
        <f>IF(MOD(13,'Drivers &amp; Assumptions'!C26)=0,ROUND('Drivers &amp; Assumptions'!C27*(1+'Drivers &amp; Assumptions'!C28)^1,0),0)</f>
        <v>0</v>
      </c>
      <c r="O25" s="24">
        <f>IF(MOD(14,'Drivers &amp; Assumptions'!C26)=0,ROUND('Drivers &amp; Assumptions'!C27*(1+'Drivers &amp; Assumptions'!C28)^1,0),0)</f>
        <v>0</v>
      </c>
      <c r="P25" s="24">
        <f>IF(MOD(15,'Drivers &amp; Assumptions'!C26)=0,ROUND('Drivers &amp; Assumptions'!C27*(1+'Drivers &amp; Assumptions'!C28)^1,0),0)</f>
        <v>6</v>
      </c>
      <c r="Q25" s="24">
        <f>IF(MOD(16,'Drivers &amp; Assumptions'!C26)=0,ROUND('Drivers &amp; Assumptions'!C27*(1+'Drivers &amp; Assumptions'!C28)^1,0),0)</f>
        <v>0</v>
      </c>
      <c r="R25" s="24">
        <f>IF(MOD(17,'Drivers &amp; Assumptions'!C26)=0,ROUND('Drivers &amp; Assumptions'!C27*(1+'Drivers &amp; Assumptions'!C28)^1,0),0)</f>
        <v>0</v>
      </c>
      <c r="S25" s="24">
        <f>IF(MOD(18,'Drivers &amp; Assumptions'!C26)=0,ROUND('Drivers &amp; Assumptions'!C27*(1+'Drivers &amp; Assumptions'!C28)^1,0),0)</f>
        <v>6</v>
      </c>
      <c r="T25" s="24">
        <f>IF(MOD(19,'Drivers &amp; Assumptions'!C26)=0,ROUND('Drivers &amp; Assumptions'!C27*(1+'Drivers &amp; Assumptions'!C28)^1,0),0)</f>
        <v>0</v>
      </c>
      <c r="U25" s="24">
        <f>IF(MOD(20,'Drivers &amp; Assumptions'!C26)=0,ROUND('Drivers &amp; Assumptions'!C27*(1+'Drivers &amp; Assumptions'!C28)^1,0),0)</f>
        <v>0</v>
      </c>
      <c r="V25" s="24">
        <f>IF(MOD(21,'Drivers &amp; Assumptions'!C26)=0,ROUND('Drivers &amp; Assumptions'!C27*(1+'Drivers &amp; Assumptions'!C28)^1,0),0)</f>
        <v>6</v>
      </c>
      <c r="W25" s="24">
        <f>IF(MOD(22,'Drivers &amp; Assumptions'!C26)=0,ROUND('Drivers &amp; Assumptions'!C27*(1+'Drivers &amp; Assumptions'!C28)^1,0),0)</f>
        <v>0</v>
      </c>
      <c r="X25" s="24">
        <f>IF(MOD(23,'Drivers &amp; Assumptions'!C26)=0,ROUND('Drivers &amp; Assumptions'!C27*(1+'Drivers &amp; Assumptions'!C28)^1,0),0)</f>
        <v>0</v>
      </c>
      <c r="Y25" s="24">
        <f>IF(MOD(24,'Drivers &amp; Assumptions'!C26)=0,ROUND('Drivers &amp; Assumptions'!C27*(1+'Drivers &amp; Assumptions'!C28)^1,0),0)</f>
        <v>6</v>
      </c>
      <c r="Z25" s="24">
        <f>IF(MOD(25,'Drivers &amp; Assumptions'!C26)=0,ROUND('Drivers &amp; Assumptions'!C27*(1+'Drivers &amp; Assumptions'!C28)^2,0),0)</f>
        <v>0</v>
      </c>
      <c r="AA25" s="24">
        <f>IF(MOD(26,'Drivers &amp; Assumptions'!C26)=0,ROUND('Drivers &amp; Assumptions'!C27*(1+'Drivers &amp; Assumptions'!C28)^2,0),0)</f>
        <v>0</v>
      </c>
      <c r="AB25" s="24">
        <f>IF(MOD(27,'Drivers &amp; Assumptions'!C26)=0,ROUND('Drivers &amp; Assumptions'!C27*(1+'Drivers &amp; Assumptions'!C28)^2,0),0)</f>
        <v>8</v>
      </c>
      <c r="AC25" s="24">
        <f>IF(MOD(28,'Drivers &amp; Assumptions'!C26)=0,ROUND('Drivers &amp; Assumptions'!C27*(1+'Drivers &amp; Assumptions'!C28)^2,0),0)</f>
        <v>0</v>
      </c>
      <c r="AD25" s="24">
        <f>IF(MOD(29,'Drivers &amp; Assumptions'!C26)=0,ROUND('Drivers &amp; Assumptions'!C27*(1+'Drivers &amp; Assumptions'!C28)^2,0),0)</f>
        <v>0</v>
      </c>
      <c r="AE25" s="24">
        <f>IF(MOD(30,'Drivers &amp; Assumptions'!C26)=0,ROUND('Drivers &amp; Assumptions'!C27*(1+'Drivers &amp; Assumptions'!C28)^2,0),0)</f>
        <v>8</v>
      </c>
      <c r="AF25" s="24">
        <f>IF(MOD(31,'Drivers &amp; Assumptions'!C26)=0,ROUND('Drivers &amp; Assumptions'!C27*(1+'Drivers &amp; Assumptions'!C28)^2,0),0)</f>
        <v>0</v>
      </c>
      <c r="AG25" s="24">
        <f>IF(MOD(32,'Drivers &amp; Assumptions'!C26)=0,ROUND('Drivers &amp; Assumptions'!C27*(1+'Drivers &amp; Assumptions'!C28)^2,0),0)</f>
        <v>0</v>
      </c>
      <c r="AH25" s="24">
        <f>IF(MOD(33,'Drivers &amp; Assumptions'!C26)=0,ROUND('Drivers &amp; Assumptions'!C27*(1+'Drivers &amp; Assumptions'!C28)^2,0),0)</f>
        <v>8</v>
      </c>
      <c r="AI25" s="24">
        <f>IF(MOD(34,'Drivers &amp; Assumptions'!C26)=0,ROUND('Drivers &amp; Assumptions'!C27*(1+'Drivers &amp; Assumptions'!C28)^2,0),0)</f>
        <v>0</v>
      </c>
      <c r="AJ25" s="24">
        <f>IF(MOD(35,'Drivers &amp; Assumptions'!C26)=0,ROUND('Drivers &amp; Assumptions'!C27*(1+'Drivers &amp; Assumptions'!C28)^2,0),0)</f>
        <v>0</v>
      </c>
      <c r="AK25" s="24">
        <f>IF(MOD(36,'Drivers &amp; Assumptions'!C26)=0,ROUND('Drivers &amp; Assumptions'!C27*(1+'Drivers &amp; Assumptions'!C28)^2,0),0)</f>
        <v>8</v>
      </c>
      <c r="AL25" s="24">
        <f>IF(MOD(37,'Drivers &amp; Assumptions'!C26)=0,ROUND('Drivers &amp; Assumptions'!C27*(1+'Drivers &amp; Assumptions'!C28)^3,0),0)</f>
        <v>0</v>
      </c>
      <c r="AM25" s="24">
        <f>IF(MOD(38,'Drivers &amp; Assumptions'!C26)=0,ROUND('Drivers &amp; Assumptions'!C27*(1+'Drivers &amp; Assumptions'!C28)^3,0),0)</f>
        <v>0</v>
      </c>
      <c r="AN25" s="24">
        <f>IF(MOD(39,'Drivers &amp; Assumptions'!C26)=0,ROUND('Drivers &amp; Assumptions'!C27*(1+'Drivers &amp; Assumptions'!C28)^3,0),0)</f>
        <v>10</v>
      </c>
      <c r="AO25" s="24">
        <f>IF(MOD(40,'Drivers &amp; Assumptions'!C26)=0,ROUND('Drivers &amp; Assumptions'!C27*(1+'Drivers &amp; Assumptions'!C28)^3,0),0)</f>
        <v>0</v>
      </c>
      <c r="AP25" s="24">
        <f>IF(MOD(41,'Drivers &amp; Assumptions'!C26)=0,ROUND('Drivers &amp; Assumptions'!C27*(1+'Drivers &amp; Assumptions'!C28)^3,0),0)</f>
        <v>0</v>
      </c>
      <c r="AQ25" s="24">
        <f>IF(MOD(42,'Drivers &amp; Assumptions'!C26)=0,ROUND('Drivers &amp; Assumptions'!C27*(1+'Drivers &amp; Assumptions'!C28)^3,0),0)</f>
        <v>10</v>
      </c>
      <c r="AR25" s="24">
        <f>IF(MOD(43,'Drivers &amp; Assumptions'!C26)=0,ROUND('Drivers &amp; Assumptions'!C27*(1+'Drivers &amp; Assumptions'!C28)^3,0),0)</f>
        <v>0</v>
      </c>
      <c r="AS25" s="24">
        <f>IF(MOD(44,'Drivers &amp; Assumptions'!C26)=0,ROUND('Drivers &amp; Assumptions'!C27*(1+'Drivers &amp; Assumptions'!C28)^3,0),0)</f>
        <v>0</v>
      </c>
      <c r="AT25" s="24">
        <f>IF(MOD(45,'Drivers &amp; Assumptions'!C26)=0,ROUND('Drivers &amp; Assumptions'!C27*(1+'Drivers &amp; Assumptions'!C28)^3,0),0)</f>
        <v>10</v>
      </c>
      <c r="AU25" s="24">
        <f>IF(MOD(46,'Drivers &amp; Assumptions'!C26)=0,ROUND('Drivers &amp; Assumptions'!C27*(1+'Drivers &amp; Assumptions'!C28)^3,0),0)</f>
        <v>0</v>
      </c>
      <c r="AV25" s="24">
        <f>IF(MOD(47,'Drivers &amp; Assumptions'!C26)=0,ROUND('Drivers &amp; Assumptions'!C27*(1+'Drivers &amp; Assumptions'!C28)^3,0),0)</f>
        <v>0</v>
      </c>
      <c r="AW25" s="24">
        <f>IF(MOD(48,'Drivers &amp; Assumptions'!C26)=0,ROUND('Drivers &amp; Assumptions'!C27*(1+'Drivers &amp; Assumptions'!C28)^3,0),0)</f>
        <v>10</v>
      </c>
      <c r="AX25" s="24">
        <f>IF(MOD(49,'Drivers &amp; Assumptions'!C26)=0,ROUND('Drivers &amp; Assumptions'!C27*(1+'Drivers &amp; Assumptions'!C28)^4,0),0)</f>
        <v>0</v>
      </c>
      <c r="AY25" s="24">
        <f>IF(MOD(50,'Drivers &amp; Assumptions'!C26)=0,ROUND('Drivers &amp; Assumptions'!C27*(1+'Drivers &amp; Assumptions'!C28)^4,0),0)</f>
        <v>0</v>
      </c>
      <c r="AZ25" s="24">
        <f>IF(MOD(51,'Drivers &amp; Assumptions'!C26)=0,ROUND('Drivers &amp; Assumptions'!C27*(1+'Drivers &amp; Assumptions'!C28)^4,0),0)</f>
        <v>12</v>
      </c>
      <c r="BA25" s="24">
        <f>IF(MOD(52,'Drivers &amp; Assumptions'!C26)=0,ROUND('Drivers &amp; Assumptions'!C27*(1+'Drivers &amp; Assumptions'!C28)^4,0),0)</f>
        <v>0</v>
      </c>
      <c r="BB25" s="24">
        <f>IF(MOD(53,'Drivers &amp; Assumptions'!C26)=0,ROUND('Drivers &amp; Assumptions'!C27*(1+'Drivers &amp; Assumptions'!C28)^4,0),0)</f>
        <v>0</v>
      </c>
      <c r="BC25" s="24">
        <f>IF(MOD(54,'Drivers &amp; Assumptions'!C26)=0,ROUND('Drivers &amp; Assumptions'!C27*(1+'Drivers &amp; Assumptions'!C28)^4,0),0)</f>
        <v>12</v>
      </c>
      <c r="BD25" s="24">
        <f>IF(MOD(55,'Drivers &amp; Assumptions'!C26)=0,ROUND('Drivers &amp; Assumptions'!C27*(1+'Drivers &amp; Assumptions'!C28)^4,0),0)</f>
        <v>0</v>
      </c>
      <c r="BE25" s="24">
        <f>IF(MOD(56,'Drivers &amp; Assumptions'!C26)=0,ROUND('Drivers &amp; Assumptions'!C27*(1+'Drivers &amp; Assumptions'!C28)^4,0),0)</f>
        <v>0</v>
      </c>
      <c r="BF25" s="24">
        <f>IF(MOD(57,'Drivers &amp; Assumptions'!C26)=0,ROUND('Drivers &amp; Assumptions'!C27*(1+'Drivers &amp; Assumptions'!C28)^4,0),0)</f>
        <v>12</v>
      </c>
      <c r="BG25" s="24">
        <f>IF(MOD(58,'Drivers &amp; Assumptions'!C26)=0,ROUND('Drivers &amp; Assumptions'!C27*(1+'Drivers &amp; Assumptions'!C28)^4,0),0)</f>
        <v>0</v>
      </c>
      <c r="BH25" s="24">
        <f>IF(MOD(59,'Drivers &amp; Assumptions'!C26)=0,ROUND('Drivers &amp; Assumptions'!C27*(1+'Drivers &amp; Assumptions'!C28)^4,0),0)</f>
        <v>0</v>
      </c>
      <c r="BI25" s="24">
        <f>IF(MOD(60,'Drivers &amp; Assumptions'!C26)=0,ROUND('Drivers &amp; Assumptions'!C27*(1+'Drivers &amp; Assumptions'!C28)^4,0),0)</f>
        <v>12</v>
      </c>
    </row>
    <row r="26" spans="1:61" ht="15" customHeight="1" x14ac:dyDescent="0.35">
      <c r="A26" s="7" t="s">
        <v>249</v>
      </c>
      <c r="B26" s="33">
        <v>0</v>
      </c>
      <c r="C26" s="33">
        <v>0</v>
      </c>
      <c r="D26" s="33">
        <v>0</v>
      </c>
      <c r="E26" s="33">
        <v>0</v>
      </c>
      <c r="F26" s="33">
        <v>0</v>
      </c>
      <c r="G26" s="33">
        <v>0</v>
      </c>
      <c r="H26" s="33">
        <v>0</v>
      </c>
      <c r="I26" s="33">
        <v>0</v>
      </c>
      <c r="J26" s="24">
        <f>IF(MOD(9,'Drivers &amp; Assumptions'!C26)=0,ROUND('Drivers &amp; Assumptions'!C27*(1+'Drivers &amp; Assumptions'!C28)^0,0),0)</f>
        <v>5</v>
      </c>
      <c r="K26" s="24">
        <f>IF(MOD(10,'Drivers &amp; Assumptions'!C26)=0,ROUND('Drivers &amp; Assumptions'!C27*(1+'Drivers &amp; Assumptions'!C28)^0,0),0)</f>
        <v>0</v>
      </c>
      <c r="L26" s="24">
        <f>IF(MOD(11,'Drivers &amp; Assumptions'!C26)=0,ROUND('Drivers &amp; Assumptions'!C27*(1+'Drivers &amp; Assumptions'!C28)^0,0),0)</f>
        <v>0</v>
      </c>
      <c r="M26" s="24">
        <f>IF(MOD(12,'Drivers &amp; Assumptions'!C26)=0,ROUND('Drivers &amp; Assumptions'!C27*(1+'Drivers &amp; Assumptions'!C28)^0,0),0)</f>
        <v>5</v>
      </c>
      <c r="N26" s="24">
        <f>IF(MOD(13,'Drivers &amp; Assumptions'!C26)=0,ROUND('Drivers &amp; Assumptions'!C27*(1+'Drivers &amp; Assumptions'!C28)^1,0),0)</f>
        <v>0</v>
      </c>
      <c r="O26" s="24">
        <f>IF(MOD(14,'Drivers &amp; Assumptions'!C26)=0,ROUND('Drivers &amp; Assumptions'!C27*(1+'Drivers &amp; Assumptions'!C28)^1,0),0)</f>
        <v>0</v>
      </c>
      <c r="P26" s="24">
        <f>IF(MOD(15,'Drivers &amp; Assumptions'!C26)=0,ROUND('Drivers &amp; Assumptions'!C27*(1+'Drivers &amp; Assumptions'!C28)^1,0),0)</f>
        <v>6</v>
      </c>
      <c r="Q26" s="24">
        <f>IF(MOD(16,'Drivers &amp; Assumptions'!C26)=0,ROUND('Drivers &amp; Assumptions'!C27*(1+'Drivers &amp; Assumptions'!C28)^1,0),0)</f>
        <v>0</v>
      </c>
      <c r="R26" s="24">
        <f>IF(MOD(17,'Drivers &amp; Assumptions'!C26)=0,ROUND('Drivers &amp; Assumptions'!C27*(1+'Drivers &amp; Assumptions'!C28)^1,0),0)</f>
        <v>0</v>
      </c>
      <c r="S26" s="24">
        <f>IF(MOD(18,'Drivers &amp; Assumptions'!C26)=0,ROUND('Drivers &amp; Assumptions'!C27*(1+'Drivers &amp; Assumptions'!C28)^1,0),0)</f>
        <v>6</v>
      </c>
      <c r="T26" s="24">
        <f>IF(MOD(19,'Drivers &amp; Assumptions'!C26)=0,ROUND('Drivers &amp; Assumptions'!C27*(1+'Drivers &amp; Assumptions'!C28)^1,0),0)</f>
        <v>0</v>
      </c>
      <c r="U26" s="24">
        <f>IF(MOD(20,'Drivers &amp; Assumptions'!C26)=0,ROUND('Drivers &amp; Assumptions'!C27*(1+'Drivers &amp; Assumptions'!C28)^1,0),0)</f>
        <v>0</v>
      </c>
      <c r="V26" s="24">
        <f>IF(MOD(21,'Drivers &amp; Assumptions'!C26)=0,ROUND('Drivers &amp; Assumptions'!C27*(1+'Drivers &amp; Assumptions'!C28)^1,0),0)</f>
        <v>6</v>
      </c>
      <c r="W26" s="24">
        <f>IF(MOD(22,'Drivers &amp; Assumptions'!C26)=0,ROUND('Drivers &amp; Assumptions'!C27*(1+'Drivers &amp; Assumptions'!C28)^1,0),0)</f>
        <v>0</v>
      </c>
      <c r="X26" s="24">
        <f>IF(MOD(23,'Drivers &amp; Assumptions'!C26)=0,ROUND('Drivers &amp; Assumptions'!C27*(1+'Drivers &amp; Assumptions'!C28)^1,0),0)</f>
        <v>0</v>
      </c>
      <c r="Y26" s="24">
        <f>IF(MOD(24,'Drivers &amp; Assumptions'!C26)=0,ROUND('Drivers &amp; Assumptions'!C27*(1+'Drivers &amp; Assumptions'!C28)^1,0),0)</f>
        <v>6</v>
      </c>
      <c r="Z26" s="24">
        <f>IF(MOD(25,'Drivers &amp; Assumptions'!C26)=0,ROUND('Drivers &amp; Assumptions'!C27*(1+'Drivers &amp; Assumptions'!C28)^2,0),0)</f>
        <v>0</v>
      </c>
      <c r="AA26" s="24">
        <f>IF(MOD(26,'Drivers &amp; Assumptions'!C26)=0,ROUND('Drivers &amp; Assumptions'!C27*(1+'Drivers &amp; Assumptions'!C28)^2,0),0)</f>
        <v>0</v>
      </c>
      <c r="AB26" s="24">
        <f>IF(MOD(27,'Drivers &amp; Assumptions'!C26)=0,ROUND('Drivers &amp; Assumptions'!C27*(1+'Drivers &amp; Assumptions'!C28)^2,0),0)</f>
        <v>8</v>
      </c>
      <c r="AC26" s="24">
        <f>IF(MOD(28,'Drivers &amp; Assumptions'!C26)=0,ROUND('Drivers &amp; Assumptions'!C27*(1+'Drivers &amp; Assumptions'!C28)^2,0),0)</f>
        <v>0</v>
      </c>
      <c r="AD26" s="24">
        <f>IF(MOD(29,'Drivers &amp; Assumptions'!C26)=0,ROUND('Drivers &amp; Assumptions'!C27*(1+'Drivers &amp; Assumptions'!C28)^2,0),0)</f>
        <v>0</v>
      </c>
      <c r="AE26" s="24">
        <f>IF(MOD(30,'Drivers &amp; Assumptions'!C26)=0,ROUND('Drivers &amp; Assumptions'!C27*(1+'Drivers &amp; Assumptions'!C28)^2,0),0)</f>
        <v>8</v>
      </c>
      <c r="AF26" s="24">
        <f>IF(MOD(31,'Drivers &amp; Assumptions'!C26)=0,ROUND('Drivers &amp; Assumptions'!C27*(1+'Drivers &amp; Assumptions'!C28)^2,0),0)</f>
        <v>0</v>
      </c>
      <c r="AG26" s="24">
        <f>IF(MOD(32,'Drivers &amp; Assumptions'!C26)=0,ROUND('Drivers &amp; Assumptions'!C27*(1+'Drivers &amp; Assumptions'!C28)^2,0),0)</f>
        <v>0</v>
      </c>
      <c r="AH26" s="24">
        <f>IF(MOD(33,'Drivers &amp; Assumptions'!C26)=0,ROUND('Drivers &amp; Assumptions'!C27*(1+'Drivers &amp; Assumptions'!C28)^2,0),0)</f>
        <v>8</v>
      </c>
      <c r="AI26" s="24">
        <f>IF(MOD(34,'Drivers &amp; Assumptions'!C26)=0,ROUND('Drivers &amp; Assumptions'!C27*(1+'Drivers &amp; Assumptions'!C28)^2,0),0)</f>
        <v>0</v>
      </c>
      <c r="AJ26" s="24">
        <f>IF(MOD(35,'Drivers &amp; Assumptions'!C26)=0,ROUND('Drivers &amp; Assumptions'!C27*(1+'Drivers &amp; Assumptions'!C28)^2,0),0)</f>
        <v>0</v>
      </c>
      <c r="AK26" s="24">
        <f>IF(MOD(36,'Drivers &amp; Assumptions'!C26)=0,ROUND('Drivers &amp; Assumptions'!C27*(1+'Drivers &amp; Assumptions'!C28)^2,0),0)</f>
        <v>8</v>
      </c>
      <c r="AL26" s="24">
        <f>IF(MOD(37,'Drivers &amp; Assumptions'!C26)=0,ROUND('Drivers &amp; Assumptions'!C27*(1+'Drivers &amp; Assumptions'!C28)^3,0),0)</f>
        <v>0</v>
      </c>
      <c r="AM26" s="24">
        <f>IF(MOD(38,'Drivers &amp; Assumptions'!C26)=0,ROUND('Drivers &amp; Assumptions'!C27*(1+'Drivers &amp; Assumptions'!C28)^3,0),0)</f>
        <v>0</v>
      </c>
      <c r="AN26" s="24">
        <f>IF(MOD(39,'Drivers &amp; Assumptions'!C26)=0,ROUND('Drivers &amp; Assumptions'!C27*(1+'Drivers &amp; Assumptions'!C28)^3,0),0)</f>
        <v>10</v>
      </c>
      <c r="AO26" s="24">
        <f>IF(MOD(40,'Drivers &amp; Assumptions'!C26)=0,ROUND('Drivers &amp; Assumptions'!C27*(1+'Drivers &amp; Assumptions'!C28)^3,0),0)</f>
        <v>0</v>
      </c>
      <c r="AP26" s="24">
        <f>IF(MOD(41,'Drivers &amp; Assumptions'!C26)=0,ROUND('Drivers &amp; Assumptions'!C27*(1+'Drivers &amp; Assumptions'!C28)^3,0),0)</f>
        <v>0</v>
      </c>
      <c r="AQ26" s="24">
        <f>IF(MOD(42,'Drivers &amp; Assumptions'!C26)=0,ROUND('Drivers &amp; Assumptions'!C27*(1+'Drivers &amp; Assumptions'!C28)^3,0),0)</f>
        <v>10</v>
      </c>
      <c r="AR26" s="24">
        <f>IF(MOD(43,'Drivers &amp; Assumptions'!C26)=0,ROUND('Drivers &amp; Assumptions'!C27*(1+'Drivers &amp; Assumptions'!C28)^3,0),0)</f>
        <v>0</v>
      </c>
      <c r="AS26" s="24">
        <f>IF(MOD(44,'Drivers &amp; Assumptions'!C26)=0,ROUND('Drivers &amp; Assumptions'!C27*(1+'Drivers &amp; Assumptions'!C28)^3,0),0)</f>
        <v>0</v>
      </c>
      <c r="AT26" s="24">
        <f>IF(MOD(45,'Drivers &amp; Assumptions'!C26)=0,ROUND('Drivers &amp; Assumptions'!C27*(1+'Drivers &amp; Assumptions'!C28)^3,0),0)</f>
        <v>10</v>
      </c>
      <c r="AU26" s="24">
        <f>IF(MOD(46,'Drivers &amp; Assumptions'!C26)=0,ROUND('Drivers &amp; Assumptions'!C27*(1+'Drivers &amp; Assumptions'!C28)^3,0),0)</f>
        <v>0</v>
      </c>
      <c r="AV26" s="24">
        <f>IF(MOD(47,'Drivers &amp; Assumptions'!C26)=0,ROUND('Drivers &amp; Assumptions'!C27*(1+'Drivers &amp; Assumptions'!C28)^3,0),0)</f>
        <v>0</v>
      </c>
      <c r="AW26" s="24">
        <f>IF(MOD(48,'Drivers &amp; Assumptions'!C26)=0,ROUND('Drivers &amp; Assumptions'!C27*(1+'Drivers &amp; Assumptions'!C28)^3,0),0)</f>
        <v>10</v>
      </c>
      <c r="AX26" s="24">
        <f>IF(MOD(49,'Drivers &amp; Assumptions'!C26)=0,ROUND('Drivers &amp; Assumptions'!C27*(1+'Drivers &amp; Assumptions'!C28)^4,0),0)</f>
        <v>0</v>
      </c>
      <c r="AY26" s="24">
        <f>IF(MOD(50,'Drivers &amp; Assumptions'!C26)=0,ROUND('Drivers &amp; Assumptions'!C27*(1+'Drivers &amp; Assumptions'!C28)^4,0),0)</f>
        <v>0</v>
      </c>
      <c r="AZ26" s="24">
        <f>IF(MOD(51,'Drivers &amp; Assumptions'!C26)=0,ROUND('Drivers &amp; Assumptions'!C27*(1+'Drivers &amp; Assumptions'!C28)^4,0),0)</f>
        <v>12</v>
      </c>
      <c r="BA26" s="24">
        <f>IF(MOD(52,'Drivers &amp; Assumptions'!C26)=0,ROUND('Drivers &amp; Assumptions'!C27*(1+'Drivers &amp; Assumptions'!C28)^4,0),0)</f>
        <v>0</v>
      </c>
      <c r="BB26" s="24">
        <f>IF(MOD(53,'Drivers &amp; Assumptions'!C26)=0,ROUND('Drivers &amp; Assumptions'!C27*(1+'Drivers &amp; Assumptions'!C28)^4,0),0)</f>
        <v>0</v>
      </c>
      <c r="BC26" s="24">
        <f>IF(MOD(54,'Drivers &amp; Assumptions'!C26)=0,ROUND('Drivers &amp; Assumptions'!C27*(1+'Drivers &amp; Assumptions'!C28)^4,0),0)</f>
        <v>12</v>
      </c>
      <c r="BD26" s="24">
        <f>IF(MOD(55,'Drivers &amp; Assumptions'!C26)=0,ROUND('Drivers &amp; Assumptions'!C27*(1+'Drivers &amp; Assumptions'!C28)^4,0),0)</f>
        <v>0</v>
      </c>
      <c r="BE26" s="24">
        <f>IF(MOD(56,'Drivers &amp; Assumptions'!C26)=0,ROUND('Drivers &amp; Assumptions'!C27*(1+'Drivers &amp; Assumptions'!C28)^4,0),0)</f>
        <v>0</v>
      </c>
      <c r="BF26" s="24">
        <f>IF(MOD(57,'Drivers &amp; Assumptions'!C26)=0,ROUND('Drivers &amp; Assumptions'!C27*(1+'Drivers &amp; Assumptions'!C28)^4,0),0)</f>
        <v>12</v>
      </c>
      <c r="BG26" s="24">
        <f>IF(MOD(58,'Drivers &amp; Assumptions'!C26)=0,ROUND('Drivers &amp; Assumptions'!C27*(1+'Drivers &amp; Assumptions'!C28)^4,0),0)</f>
        <v>0</v>
      </c>
      <c r="BH26" s="24">
        <f>IF(MOD(59,'Drivers &amp; Assumptions'!C26)=0,ROUND('Drivers &amp; Assumptions'!C27*(1+'Drivers &amp; Assumptions'!C28)^4,0),0)</f>
        <v>0</v>
      </c>
      <c r="BI26" s="24">
        <f>IF(MOD(60,'Drivers &amp; Assumptions'!C26)=0,ROUND('Drivers &amp; Assumptions'!C27*(1+'Drivers &amp; Assumptions'!C28)^4,0),0)</f>
        <v>12</v>
      </c>
    </row>
    <row r="28" spans="1:61" ht="15" customHeight="1" x14ac:dyDescent="0.35">
      <c r="A28" s="10" t="s">
        <v>250</v>
      </c>
      <c r="B28" s="29">
        <f t="shared" ref="B28:AG28" si="0">SUM(B7:B26)</f>
        <v>0</v>
      </c>
      <c r="C28" s="29">
        <f t="shared" si="0"/>
        <v>0</v>
      </c>
      <c r="D28" s="29">
        <f t="shared" si="0"/>
        <v>0</v>
      </c>
      <c r="E28" s="29">
        <f t="shared" si="0"/>
        <v>0</v>
      </c>
      <c r="F28" s="29">
        <f t="shared" si="0"/>
        <v>0</v>
      </c>
      <c r="G28" s="29">
        <f t="shared" si="0"/>
        <v>0</v>
      </c>
      <c r="H28" s="29">
        <f t="shared" si="0"/>
        <v>0</v>
      </c>
      <c r="I28" s="29">
        <f t="shared" si="0"/>
        <v>0</v>
      </c>
      <c r="J28" s="29">
        <f t="shared" si="0"/>
        <v>100</v>
      </c>
      <c r="K28" s="29">
        <f t="shared" si="0"/>
        <v>0</v>
      </c>
      <c r="L28" s="29">
        <f t="shared" si="0"/>
        <v>0</v>
      </c>
      <c r="M28" s="29">
        <f t="shared" si="0"/>
        <v>100</v>
      </c>
      <c r="N28" s="29">
        <f t="shared" si="0"/>
        <v>0</v>
      </c>
      <c r="O28" s="29">
        <f t="shared" si="0"/>
        <v>0</v>
      </c>
      <c r="P28" s="29">
        <f t="shared" si="0"/>
        <v>120</v>
      </c>
      <c r="Q28" s="29">
        <f t="shared" si="0"/>
        <v>0</v>
      </c>
      <c r="R28" s="29">
        <f t="shared" si="0"/>
        <v>0</v>
      </c>
      <c r="S28" s="29">
        <f t="shared" si="0"/>
        <v>120</v>
      </c>
      <c r="T28" s="29">
        <f t="shared" si="0"/>
        <v>0</v>
      </c>
      <c r="U28" s="29">
        <f t="shared" si="0"/>
        <v>0</v>
      </c>
      <c r="V28" s="29">
        <f t="shared" si="0"/>
        <v>120</v>
      </c>
      <c r="W28" s="29">
        <f t="shared" si="0"/>
        <v>0</v>
      </c>
      <c r="X28" s="29">
        <f t="shared" si="0"/>
        <v>0</v>
      </c>
      <c r="Y28" s="29">
        <f t="shared" si="0"/>
        <v>120</v>
      </c>
      <c r="Z28" s="29">
        <f t="shared" si="0"/>
        <v>0</v>
      </c>
      <c r="AA28" s="29">
        <f t="shared" si="0"/>
        <v>0</v>
      </c>
      <c r="AB28" s="29">
        <f t="shared" si="0"/>
        <v>160</v>
      </c>
      <c r="AC28" s="29">
        <f t="shared" si="0"/>
        <v>0</v>
      </c>
      <c r="AD28" s="29">
        <f t="shared" si="0"/>
        <v>0</v>
      </c>
      <c r="AE28" s="29">
        <f t="shared" si="0"/>
        <v>160</v>
      </c>
      <c r="AF28" s="29">
        <f t="shared" si="0"/>
        <v>0</v>
      </c>
      <c r="AG28" s="29">
        <f t="shared" si="0"/>
        <v>0</v>
      </c>
      <c r="AH28" s="29">
        <f t="shared" ref="AH28:BI28" si="1">SUM(AH7:AH26)</f>
        <v>160</v>
      </c>
      <c r="AI28" s="29">
        <f t="shared" si="1"/>
        <v>0</v>
      </c>
      <c r="AJ28" s="29">
        <f t="shared" si="1"/>
        <v>0</v>
      </c>
      <c r="AK28" s="29">
        <f t="shared" si="1"/>
        <v>160</v>
      </c>
      <c r="AL28" s="29">
        <f t="shared" si="1"/>
        <v>0</v>
      </c>
      <c r="AM28" s="29">
        <f t="shared" si="1"/>
        <v>0</v>
      </c>
      <c r="AN28" s="29">
        <f t="shared" si="1"/>
        <v>200</v>
      </c>
      <c r="AO28" s="29">
        <f t="shared" si="1"/>
        <v>0</v>
      </c>
      <c r="AP28" s="29">
        <f t="shared" si="1"/>
        <v>0</v>
      </c>
      <c r="AQ28" s="29">
        <f t="shared" si="1"/>
        <v>200</v>
      </c>
      <c r="AR28" s="29">
        <f t="shared" si="1"/>
        <v>0</v>
      </c>
      <c r="AS28" s="29">
        <f t="shared" si="1"/>
        <v>0</v>
      </c>
      <c r="AT28" s="29">
        <f t="shared" si="1"/>
        <v>200</v>
      </c>
      <c r="AU28" s="29">
        <f t="shared" si="1"/>
        <v>0</v>
      </c>
      <c r="AV28" s="29">
        <f t="shared" si="1"/>
        <v>0</v>
      </c>
      <c r="AW28" s="29">
        <f t="shared" si="1"/>
        <v>200</v>
      </c>
      <c r="AX28" s="29">
        <f t="shared" si="1"/>
        <v>0</v>
      </c>
      <c r="AY28" s="29">
        <f t="shared" si="1"/>
        <v>0</v>
      </c>
      <c r="AZ28" s="29">
        <f t="shared" si="1"/>
        <v>240</v>
      </c>
      <c r="BA28" s="29">
        <f t="shared" si="1"/>
        <v>0</v>
      </c>
      <c r="BB28" s="29">
        <f t="shared" si="1"/>
        <v>0</v>
      </c>
      <c r="BC28" s="29">
        <f t="shared" si="1"/>
        <v>240</v>
      </c>
      <c r="BD28" s="29">
        <f t="shared" si="1"/>
        <v>0</v>
      </c>
      <c r="BE28" s="29">
        <f t="shared" si="1"/>
        <v>0</v>
      </c>
      <c r="BF28" s="29">
        <f t="shared" si="1"/>
        <v>240</v>
      </c>
      <c r="BG28" s="29">
        <f t="shared" si="1"/>
        <v>0</v>
      </c>
      <c r="BH28" s="29">
        <f t="shared" si="1"/>
        <v>0</v>
      </c>
      <c r="BI28" s="29">
        <f t="shared" si="1"/>
        <v>240</v>
      </c>
    </row>
    <row r="29" spans="1:61" ht="15" customHeight="1" x14ac:dyDescent="0.35">
      <c r="A29" s="7" t="s">
        <v>251</v>
      </c>
      <c r="B29" s="28">
        <f>B28*'Drivers &amp; Assumptions'!C20</f>
        <v>0</v>
      </c>
      <c r="C29" s="28">
        <f>C28*'Drivers &amp; Assumptions'!C20</f>
        <v>0</v>
      </c>
      <c r="D29" s="28">
        <f>D28*'Drivers &amp; Assumptions'!C20</f>
        <v>0</v>
      </c>
      <c r="E29" s="28">
        <f>E28*'Drivers &amp; Assumptions'!C20</f>
        <v>0</v>
      </c>
      <c r="F29" s="28">
        <f>F28*'Drivers &amp; Assumptions'!C20</f>
        <v>0</v>
      </c>
      <c r="G29" s="28">
        <f>G28*'Drivers &amp; Assumptions'!C20</f>
        <v>0</v>
      </c>
      <c r="H29" s="28">
        <f>H28*'Drivers &amp; Assumptions'!C20</f>
        <v>0</v>
      </c>
      <c r="I29" s="28">
        <f>I28*'Drivers &amp; Assumptions'!C20</f>
        <v>0</v>
      </c>
      <c r="J29" s="28">
        <f>J28*'Drivers &amp; Assumptions'!C20</f>
        <v>1200</v>
      </c>
      <c r="K29" s="28">
        <f>K28*'Drivers &amp; Assumptions'!C20</f>
        <v>0</v>
      </c>
      <c r="L29" s="28">
        <f>L28*'Drivers &amp; Assumptions'!C20</f>
        <v>0</v>
      </c>
      <c r="M29" s="28">
        <f>M28*'Drivers &amp; Assumptions'!C20</f>
        <v>1200</v>
      </c>
      <c r="N29" s="28">
        <f>N28*'Drivers &amp; Assumptions'!C20</f>
        <v>0</v>
      </c>
      <c r="O29" s="28">
        <f>O28*'Drivers &amp; Assumptions'!C20</f>
        <v>0</v>
      </c>
      <c r="P29" s="28">
        <f>P28*'Drivers &amp; Assumptions'!C20</f>
        <v>1440</v>
      </c>
      <c r="Q29" s="28">
        <f>Q28*'Drivers &amp; Assumptions'!C20</f>
        <v>0</v>
      </c>
      <c r="R29" s="28">
        <f>R28*'Drivers &amp; Assumptions'!C20</f>
        <v>0</v>
      </c>
      <c r="S29" s="28">
        <f>S28*'Drivers &amp; Assumptions'!C20</f>
        <v>1440</v>
      </c>
      <c r="T29" s="28">
        <f>T28*'Drivers &amp; Assumptions'!C20</f>
        <v>0</v>
      </c>
      <c r="U29" s="28">
        <f>U28*'Drivers &amp; Assumptions'!C20</f>
        <v>0</v>
      </c>
      <c r="V29" s="28">
        <f>V28*'Drivers &amp; Assumptions'!C20</f>
        <v>1440</v>
      </c>
      <c r="W29" s="28">
        <f>W28*'Drivers &amp; Assumptions'!C20</f>
        <v>0</v>
      </c>
      <c r="X29" s="28">
        <f>X28*'Drivers &amp; Assumptions'!C20</f>
        <v>0</v>
      </c>
      <c r="Y29" s="28">
        <f>Y28*'Drivers &amp; Assumptions'!C20</f>
        <v>1440</v>
      </c>
      <c r="Z29" s="28">
        <f>Z28*'Drivers &amp; Assumptions'!C20</f>
        <v>0</v>
      </c>
      <c r="AA29" s="28">
        <f>AA28*'Drivers &amp; Assumptions'!C20</f>
        <v>0</v>
      </c>
      <c r="AB29" s="28">
        <f>AB28*'Drivers &amp; Assumptions'!C20</f>
        <v>1920</v>
      </c>
      <c r="AC29" s="28">
        <f>AC28*'Drivers &amp; Assumptions'!C20</f>
        <v>0</v>
      </c>
      <c r="AD29" s="28">
        <f>AD28*'Drivers &amp; Assumptions'!C20</f>
        <v>0</v>
      </c>
      <c r="AE29" s="28">
        <f>AE28*'Drivers &amp; Assumptions'!C20</f>
        <v>1920</v>
      </c>
      <c r="AF29" s="28">
        <f>AF28*'Drivers &amp; Assumptions'!C20</f>
        <v>0</v>
      </c>
      <c r="AG29" s="28">
        <f>AG28*'Drivers &amp; Assumptions'!C20</f>
        <v>0</v>
      </c>
      <c r="AH29" s="28">
        <f>AH28*'Drivers &amp; Assumptions'!C20</f>
        <v>1920</v>
      </c>
      <c r="AI29" s="28">
        <f>AI28*'Drivers &amp; Assumptions'!C20</f>
        <v>0</v>
      </c>
      <c r="AJ29" s="28">
        <f>AJ28*'Drivers &amp; Assumptions'!C20</f>
        <v>0</v>
      </c>
      <c r="AK29" s="28">
        <f>AK28*'Drivers &amp; Assumptions'!C20</f>
        <v>1920</v>
      </c>
      <c r="AL29" s="28">
        <f>AL28*'Drivers &amp; Assumptions'!C20</f>
        <v>0</v>
      </c>
      <c r="AM29" s="28">
        <f>AM28*'Drivers &amp; Assumptions'!C20</f>
        <v>0</v>
      </c>
      <c r="AN29" s="28">
        <f>AN28*'Drivers &amp; Assumptions'!C20</f>
        <v>2400</v>
      </c>
      <c r="AO29" s="28">
        <f>AO28*'Drivers &amp; Assumptions'!C20</f>
        <v>0</v>
      </c>
      <c r="AP29" s="28">
        <f>AP28*'Drivers &amp; Assumptions'!C20</f>
        <v>0</v>
      </c>
      <c r="AQ29" s="28">
        <f>AQ28*'Drivers &amp; Assumptions'!C20</f>
        <v>2400</v>
      </c>
      <c r="AR29" s="28">
        <f>AR28*'Drivers &amp; Assumptions'!C20</f>
        <v>0</v>
      </c>
      <c r="AS29" s="28">
        <f>AS28*'Drivers &amp; Assumptions'!C20</f>
        <v>0</v>
      </c>
      <c r="AT29" s="28">
        <f>AT28*'Drivers &amp; Assumptions'!C20</f>
        <v>2400</v>
      </c>
      <c r="AU29" s="28">
        <f>AU28*'Drivers &amp; Assumptions'!C20</f>
        <v>0</v>
      </c>
      <c r="AV29" s="28">
        <f>AV28*'Drivers &amp; Assumptions'!C20</f>
        <v>0</v>
      </c>
      <c r="AW29" s="28">
        <f>AW28*'Drivers &amp; Assumptions'!C20</f>
        <v>2400</v>
      </c>
      <c r="AX29" s="28">
        <f>AX28*'Drivers &amp; Assumptions'!C20</f>
        <v>0</v>
      </c>
      <c r="AY29" s="28">
        <f>AY28*'Drivers &amp; Assumptions'!C20</f>
        <v>0</v>
      </c>
      <c r="AZ29" s="28">
        <f>AZ28*'Drivers &amp; Assumptions'!C20</f>
        <v>2880</v>
      </c>
      <c r="BA29" s="28">
        <f>BA28*'Drivers &amp; Assumptions'!C20</f>
        <v>0</v>
      </c>
      <c r="BB29" s="28">
        <f>BB28*'Drivers &amp; Assumptions'!C20</f>
        <v>0</v>
      </c>
      <c r="BC29" s="28">
        <f>BC28*'Drivers &amp; Assumptions'!C20</f>
        <v>2880</v>
      </c>
      <c r="BD29" s="28">
        <f>BD28*'Drivers &amp; Assumptions'!C20</f>
        <v>0</v>
      </c>
      <c r="BE29" s="28">
        <f>BE28*'Drivers &amp; Assumptions'!C20</f>
        <v>0</v>
      </c>
      <c r="BF29" s="28">
        <f>BF28*'Drivers &amp; Assumptions'!C20</f>
        <v>2880</v>
      </c>
      <c r="BG29" s="28">
        <f>BG28*'Drivers &amp; Assumptions'!C20</f>
        <v>0</v>
      </c>
      <c r="BH29" s="28">
        <f>BH28*'Drivers &amp; Assumptions'!C20</f>
        <v>0</v>
      </c>
      <c r="BI29" s="28">
        <f>BI28*'Drivers &amp; Assumptions'!C20</f>
        <v>2880</v>
      </c>
    </row>
    <row r="31" spans="1:61" ht="15" customHeight="1" x14ac:dyDescent="0.35">
      <c r="A31" s="5" t="s">
        <v>252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</row>
    <row r="32" spans="1:61" ht="15" customHeight="1" x14ac:dyDescent="0.35">
      <c r="A32" s="10" t="s">
        <v>253</v>
      </c>
      <c r="B32" s="30">
        <f>B29*'Drivers &amp; Assumptions'!C19</f>
        <v>0</v>
      </c>
      <c r="C32" s="30">
        <f>C29*'Drivers &amp; Assumptions'!C19</f>
        <v>0</v>
      </c>
      <c r="D32" s="30">
        <f>D29*'Drivers &amp; Assumptions'!C19</f>
        <v>0</v>
      </c>
      <c r="E32" s="30">
        <f>E29*'Drivers &amp; Assumptions'!C19</f>
        <v>0</v>
      </c>
      <c r="F32" s="30">
        <f>F29*'Drivers &amp; Assumptions'!C19</f>
        <v>0</v>
      </c>
      <c r="G32" s="30">
        <f>G29*'Drivers &amp; Assumptions'!C19</f>
        <v>0</v>
      </c>
      <c r="H32" s="30">
        <f>H29*'Drivers &amp; Assumptions'!C19</f>
        <v>0</v>
      </c>
      <c r="I32" s="30">
        <f>I29*'Drivers &amp; Assumptions'!C19</f>
        <v>0</v>
      </c>
      <c r="J32" s="30">
        <f>J29*'Drivers &amp; Assumptions'!C19</f>
        <v>45360</v>
      </c>
      <c r="K32" s="30">
        <f>K29*'Drivers &amp; Assumptions'!C19</f>
        <v>0</v>
      </c>
      <c r="L32" s="30">
        <f>L29*'Drivers &amp; Assumptions'!C19</f>
        <v>0</v>
      </c>
      <c r="M32" s="30">
        <f>M29*'Drivers &amp; Assumptions'!C19</f>
        <v>45360</v>
      </c>
      <c r="N32" s="30">
        <f>N29*'Drivers &amp; Assumptions'!C19</f>
        <v>0</v>
      </c>
      <c r="O32" s="30">
        <f>O29*'Drivers &amp; Assumptions'!C19</f>
        <v>0</v>
      </c>
      <c r="P32" s="30">
        <f>P29*'Drivers &amp; Assumptions'!C19</f>
        <v>54431.999999999993</v>
      </c>
      <c r="Q32" s="30">
        <f>Q29*'Drivers &amp; Assumptions'!C19</f>
        <v>0</v>
      </c>
      <c r="R32" s="30">
        <f>R29*'Drivers &amp; Assumptions'!C19</f>
        <v>0</v>
      </c>
      <c r="S32" s="30">
        <f>S29*'Drivers &amp; Assumptions'!C19</f>
        <v>54431.999999999993</v>
      </c>
      <c r="T32" s="30">
        <f>T29*'Drivers &amp; Assumptions'!C19</f>
        <v>0</v>
      </c>
      <c r="U32" s="30">
        <f>U29*'Drivers &amp; Assumptions'!C19</f>
        <v>0</v>
      </c>
      <c r="V32" s="30">
        <f>V29*'Drivers &amp; Assumptions'!C19</f>
        <v>54431.999999999993</v>
      </c>
      <c r="W32" s="30">
        <f>W29*'Drivers &amp; Assumptions'!C19</f>
        <v>0</v>
      </c>
      <c r="X32" s="30">
        <f>X29*'Drivers &amp; Assumptions'!C19</f>
        <v>0</v>
      </c>
      <c r="Y32" s="30">
        <f>Y29*'Drivers &amp; Assumptions'!C19</f>
        <v>54431.999999999993</v>
      </c>
      <c r="Z32" s="30">
        <f>Z29*'Drivers &amp; Assumptions'!C19</f>
        <v>0</v>
      </c>
      <c r="AA32" s="30">
        <f>AA29*'Drivers &amp; Assumptions'!C19</f>
        <v>0</v>
      </c>
      <c r="AB32" s="30">
        <f>AB29*'Drivers &amp; Assumptions'!C19</f>
        <v>72576</v>
      </c>
      <c r="AC32" s="30">
        <f>AC29*'Drivers &amp; Assumptions'!C19</f>
        <v>0</v>
      </c>
      <c r="AD32" s="30">
        <f>AD29*'Drivers &amp; Assumptions'!C19</f>
        <v>0</v>
      </c>
      <c r="AE32" s="30">
        <f>AE29*'Drivers &amp; Assumptions'!C19</f>
        <v>72576</v>
      </c>
      <c r="AF32" s="30">
        <f>AF29*'Drivers &amp; Assumptions'!C19</f>
        <v>0</v>
      </c>
      <c r="AG32" s="30">
        <f>AG29*'Drivers &amp; Assumptions'!C19</f>
        <v>0</v>
      </c>
      <c r="AH32" s="30">
        <f>AH29*'Drivers &amp; Assumptions'!C19</f>
        <v>72576</v>
      </c>
      <c r="AI32" s="30">
        <f>AI29*'Drivers &amp; Assumptions'!C19</f>
        <v>0</v>
      </c>
      <c r="AJ32" s="30">
        <f>AJ29*'Drivers &amp; Assumptions'!C19</f>
        <v>0</v>
      </c>
      <c r="AK32" s="30">
        <f>AK29*'Drivers &amp; Assumptions'!C19</f>
        <v>72576</v>
      </c>
      <c r="AL32" s="30">
        <f>AL29*'Drivers &amp; Assumptions'!C19</f>
        <v>0</v>
      </c>
      <c r="AM32" s="30">
        <f>AM29*'Drivers &amp; Assumptions'!C19</f>
        <v>0</v>
      </c>
      <c r="AN32" s="30">
        <f>AN29*'Drivers &amp; Assumptions'!C19</f>
        <v>90720</v>
      </c>
      <c r="AO32" s="30">
        <f>AO29*'Drivers &amp; Assumptions'!C19</f>
        <v>0</v>
      </c>
      <c r="AP32" s="30">
        <f>AP29*'Drivers &amp; Assumptions'!C19</f>
        <v>0</v>
      </c>
      <c r="AQ32" s="30">
        <f>AQ29*'Drivers &amp; Assumptions'!C19</f>
        <v>90720</v>
      </c>
      <c r="AR32" s="30">
        <f>AR29*'Drivers &amp; Assumptions'!C19</f>
        <v>0</v>
      </c>
      <c r="AS32" s="30">
        <f>AS29*'Drivers &amp; Assumptions'!C19</f>
        <v>0</v>
      </c>
      <c r="AT32" s="30">
        <f>AT29*'Drivers &amp; Assumptions'!C19</f>
        <v>90720</v>
      </c>
      <c r="AU32" s="30">
        <f>AU29*'Drivers &amp; Assumptions'!C19</f>
        <v>0</v>
      </c>
      <c r="AV32" s="30">
        <f>AV29*'Drivers &amp; Assumptions'!C19</f>
        <v>0</v>
      </c>
      <c r="AW32" s="30">
        <f>AW29*'Drivers &amp; Assumptions'!C19</f>
        <v>90720</v>
      </c>
      <c r="AX32" s="30">
        <f>AX29*'Drivers &amp; Assumptions'!C19</f>
        <v>0</v>
      </c>
      <c r="AY32" s="30">
        <f>AY29*'Drivers &amp; Assumptions'!C19</f>
        <v>0</v>
      </c>
      <c r="AZ32" s="30">
        <f>AZ29*'Drivers &amp; Assumptions'!C19</f>
        <v>108863.99999999999</v>
      </c>
      <c r="BA32" s="30">
        <f>BA29*'Drivers &amp; Assumptions'!C19</f>
        <v>0</v>
      </c>
      <c r="BB32" s="30">
        <f>BB29*'Drivers &amp; Assumptions'!C19</f>
        <v>0</v>
      </c>
      <c r="BC32" s="30">
        <f>BC29*'Drivers &amp; Assumptions'!C19</f>
        <v>108863.99999999999</v>
      </c>
      <c r="BD32" s="30">
        <f>BD29*'Drivers &amp; Assumptions'!C19</f>
        <v>0</v>
      </c>
      <c r="BE32" s="30">
        <f>BE29*'Drivers &amp; Assumptions'!C19</f>
        <v>0</v>
      </c>
      <c r="BF32" s="30">
        <f>BF29*'Drivers &amp; Assumptions'!C19</f>
        <v>108863.99999999999</v>
      </c>
      <c r="BG32" s="30">
        <f>BG29*'Drivers &amp; Assumptions'!C19</f>
        <v>0</v>
      </c>
      <c r="BH32" s="30">
        <f>BH29*'Drivers &amp; Assumptions'!C19</f>
        <v>0</v>
      </c>
      <c r="BI32" s="30">
        <f>BI29*'Drivers &amp; Assumptions'!C19</f>
        <v>108863.99999999999</v>
      </c>
    </row>
    <row r="34" spans="1:61" ht="15" customHeight="1" x14ac:dyDescent="0.35">
      <c r="A34" s="10" t="s">
        <v>254</v>
      </c>
      <c r="B34" s="26">
        <v>9834</v>
      </c>
      <c r="C34" s="26">
        <v>17446</v>
      </c>
      <c r="D34" s="26">
        <v>1741</v>
      </c>
      <c r="E34" s="26">
        <v>5071</v>
      </c>
      <c r="F34" s="26">
        <v>8989</v>
      </c>
      <c r="G34" s="26">
        <v>3713</v>
      </c>
      <c r="H34" s="26">
        <v>1799</v>
      </c>
      <c r="I34" s="26">
        <v>17894</v>
      </c>
    </row>
    <row r="35" spans="1:61" ht="15" customHeight="1" x14ac:dyDescent="0.35">
      <c r="A35" s="10" t="s">
        <v>255</v>
      </c>
      <c r="B35" s="31">
        <f t="shared" ref="B35:I35" si="2">B34</f>
        <v>9834</v>
      </c>
      <c r="C35" s="31">
        <f t="shared" si="2"/>
        <v>17446</v>
      </c>
      <c r="D35" s="31">
        <f t="shared" si="2"/>
        <v>1741</v>
      </c>
      <c r="E35" s="31">
        <f t="shared" si="2"/>
        <v>5071</v>
      </c>
      <c r="F35" s="31">
        <f t="shared" si="2"/>
        <v>8989</v>
      </c>
      <c r="G35" s="31">
        <f t="shared" si="2"/>
        <v>3713</v>
      </c>
      <c r="H35" s="31">
        <f t="shared" si="2"/>
        <v>1799</v>
      </c>
      <c r="I35" s="31">
        <f t="shared" si="2"/>
        <v>17894</v>
      </c>
      <c r="J35" s="14">
        <f t="shared" ref="J35:AO35" si="3">J32</f>
        <v>45360</v>
      </c>
      <c r="K35" s="14">
        <f t="shared" si="3"/>
        <v>0</v>
      </c>
      <c r="L35" s="14">
        <f t="shared" si="3"/>
        <v>0</v>
      </c>
      <c r="M35" s="14">
        <f t="shared" si="3"/>
        <v>45360</v>
      </c>
      <c r="N35" s="14">
        <f t="shared" si="3"/>
        <v>0</v>
      </c>
      <c r="O35" s="14">
        <f t="shared" si="3"/>
        <v>0</v>
      </c>
      <c r="P35" s="14">
        <f t="shared" si="3"/>
        <v>54431.999999999993</v>
      </c>
      <c r="Q35" s="14">
        <f t="shared" si="3"/>
        <v>0</v>
      </c>
      <c r="R35" s="14">
        <f t="shared" si="3"/>
        <v>0</v>
      </c>
      <c r="S35" s="14">
        <f t="shared" si="3"/>
        <v>54431.999999999993</v>
      </c>
      <c r="T35" s="14">
        <f t="shared" si="3"/>
        <v>0</v>
      </c>
      <c r="U35" s="14">
        <f t="shared" si="3"/>
        <v>0</v>
      </c>
      <c r="V35" s="14">
        <f t="shared" si="3"/>
        <v>54431.999999999993</v>
      </c>
      <c r="W35" s="14">
        <f t="shared" si="3"/>
        <v>0</v>
      </c>
      <c r="X35" s="14">
        <f t="shared" si="3"/>
        <v>0</v>
      </c>
      <c r="Y35" s="14">
        <f t="shared" si="3"/>
        <v>54431.999999999993</v>
      </c>
      <c r="Z35" s="14">
        <f t="shared" si="3"/>
        <v>0</v>
      </c>
      <c r="AA35" s="14">
        <f t="shared" si="3"/>
        <v>0</v>
      </c>
      <c r="AB35" s="14">
        <f t="shared" si="3"/>
        <v>72576</v>
      </c>
      <c r="AC35" s="14">
        <f t="shared" si="3"/>
        <v>0</v>
      </c>
      <c r="AD35" s="14">
        <f t="shared" si="3"/>
        <v>0</v>
      </c>
      <c r="AE35" s="14">
        <f t="shared" si="3"/>
        <v>72576</v>
      </c>
      <c r="AF35" s="14">
        <f t="shared" si="3"/>
        <v>0</v>
      </c>
      <c r="AG35" s="14">
        <f t="shared" si="3"/>
        <v>0</v>
      </c>
      <c r="AH35" s="14">
        <f t="shared" si="3"/>
        <v>72576</v>
      </c>
      <c r="AI35" s="14">
        <f t="shared" si="3"/>
        <v>0</v>
      </c>
      <c r="AJ35" s="14">
        <f t="shared" si="3"/>
        <v>0</v>
      </c>
      <c r="AK35" s="14">
        <f t="shared" si="3"/>
        <v>72576</v>
      </c>
      <c r="AL35" s="14">
        <f t="shared" si="3"/>
        <v>0</v>
      </c>
      <c r="AM35" s="14">
        <f t="shared" si="3"/>
        <v>0</v>
      </c>
      <c r="AN35" s="14">
        <f t="shared" si="3"/>
        <v>90720</v>
      </c>
      <c r="AO35" s="14">
        <f t="shared" si="3"/>
        <v>0</v>
      </c>
      <c r="AP35" s="14">
        <f t="shared" ref="AP35:BI35" si="4">AP32</f>
        <v>0</v>
      </c>
      <c r="AQ35" s="14">
        <f t="shared" si="4"/>
        <v>90720</v>
      </c>
      <c r="AR35" s="14">
        <f t="shared" si="4"/>
        <v>0</v>
      </c>
      <c r="AS35" s="14">
        <f t="shared" si="4"/>
        <v>0</v>
      </c>
      <c r="AT35" s="14">
        <f t="shared" si="4"/>
        <v>90720</v>
      </c>
      <c r="AU35" s="14">
        <f t="shared" si="4"/>
        <v>0</v>
      </c>
      <c r="AV35" s="14">
        <f t="shared" si="4"/>
        <v>0</v>
      </c>
      <c r="AW35" s="14">
        <f t="shared" si="4"/>
        <v>90720</v>
      </c>
      <c r="AX35" s="14">
        <f t="shared" si="4"/>
        <v>0</v>
      </c>
      <c r="AY35" s="14">
        <f t="shared" si="4"/>
        <v>0</v>
      </c>
      <c r="AZ35" s="14">
        <f t="shared" si="4"/>
        <v>108863.99999999999</v>
      </c>
      <c r="BA35" s="14">
        <f t="shared" si="4"/>
        <v>0</v>
      </c>
      <c r="BB35" s="14">
        <f t="shared" si="4"/>
        <v>0</v>
      </c>
      <c r="BC35" s="14">
        <f t="shared" si="4"/>
        <v>108863.99999999999</v>
      </c>
      <c r="BD35" s="14">
        <f t="shared" si="4"/>
        <v>0</v>
      </c>
      <c r="BE35" s="14">
        <f t="shared" si="4"/>
        <v>0</v>
      </c>
      <c r="BF35" s="14">
        <f t="shared" si="4"/>
        <v>108863.99999999999</v>
      </c>
      <c r="BG35" s="14">
        <f t="shared" si="4"/>
        <v>0</v>
      </c>
      <c r="BH35" s="14">
        <f t="shared" si="4"/>
        <v>0</v>
      </c>
      <c r="BI35" s="14">
        <f t="shared" si="4"/>
        <v>108863.99999999999</v>
      </c>
    </row>
    <row r="36" spans="1:61" ht="15" customHeight="1" x14ac:dyDescent="0.35">
      <c r="A36" s="7" t="s">
        <v>256</v>
      </c>
      <c r="B36" s="28">
        <f t="shared" ref="B36:AG36" si="5">B28</f>
        <v>0</v>
      </c>
      <c r="C36" s="28">
        <f t="shared" si="5"/>
        <v>0</v>
      </c>
      <c r="D36" s="28">
        <f t="shared" si="5"/>
        <v>0</v>
      </c>
      <c r="E36" s="28">
        <f t="shared" si="5"/>
        <v>0</v>
      </c>
      <c r="F36" s="28">
        <f t="shared" si="5"/>
        <v>0</v>
      </c>
      <c r="G36" s="28">
        <f t="shared" si="5"/>
        <v>0</v>
      </c>
      <c r="H36" s="28">
        <f t="shared" si="5"/>
        <v>0</v>
      </c>
      <c r="I36" s="28">
        <f t="shared" si="5"/>
        <v>0</v>
      </c>
      <c r="J36" s="28">
        <f t="shared" si="5"/>
        <v>100</v>
      </c>
      <c r="K36" s="28">
        <f t="shared" si="5"/>
        <v>0</v>
      </c>
      <c r="L36" s="28">
        <f t="shared" si="5"/>
        <v>0</v>
      </c>
      <c r="M36" s="28">
        <f t="shared" si="5"/>
        <v>100</v>
      </c>
      <c r="N36" s="28">
        <f t="shared" si="5"/>
        <v>0</v>
      </c>
      <c r="O36" s="28">
        <f t="shared" si="5"/>
        <v>0</v>
      </c>
      <c r="P36" s="28">
        <f t="shared" si="5"/>
        <v>120</v>
      </c>
      <c r="Q36" s="28">
        <f t="shared" si="5"/>
        <v>0</v>
      </c>
      <c r="R36" s="28">
        <f t="shared" si="5"/>
        <v>0</v>
      </c>
      <c r="S36" s="28">
        <f t="shared" si="5"/>
        <v>120</v>
      </c>
      <c r="T36" s="28">
        <f t="shared" si="5"/>
        <v>0</v>
      </c>
      <c r="U36" s="28">
        <f t="shared" si="5"/>
        <v>0</v>
      </c>
      <c r="V36" s="28">
        <f t="shared" si="5"/>
        <v>120</v>
      </c>
      <c r="W36" s="28">
        <f t="shared" si="5"/>
        <v>0</v>
      </c>
      <c r="X36" s="28">
        <f t="shared" si="5"/>
        <v>0</v>
      </c>
      <c r="Y36" s="28">
        <f t="shared" si="5"/>
        <v>120</v>
      </c>
      <c r="Z36" s="28">
        <f t="shared" si="5"/>
        <v>0</v>
      </c>
      <c r="AA36" s="28">
        <f t="shared" si="5"/>
        <v>0</v>
      </c>
      <c r="AB36" s="28">
        <f t="shared" si="5"/>
        <v>160</v>
      </c>
      <c r="AC36" s="28">
        <f t="shared" si="5"/>
        <v>0</v>
      </c>
      <c r="AD36" s="28">
        <f t="shared" si="5"/>
        <v>0</v>
      </c>
      <c r="AE36" s="28">
        <f t="shared" si="5"/>
        <v>160</v>
      </c>
      <c r="AF36" s="28">
        <f t="shared" si="5"/>
        <v>0</v>
      </c>
      <c r="AG36" s="28">
        <f t="shared" si="5"/>
        <v>0</v>
      </c>
      <c r="AH36" s="28">
        <f t="shared" ref="AH36:BI36" si="6">AH28</f>
        <v>160</v>
      </c>
      <c r="AI36" s="28">
        <f t="shared" si="6"/>
        <v>0</v>
      </c>
      <c r="AJ36" s="28">
        <f t="shared" si="6"/>
        <v>0</v>
      </c>
      <c r="AK36" s="28">
        <f t="shared" si="6"/>
        <v>160</v>
      </c>
      <c r="AL36" s="28">
        <f t="shared" si="6"/>
        <v>0</v>
      </c>
      <c r="AM36" s="28">
        <f t="shared" si="6"/>
        <v>0</v>
      </c>
      <c r="AN36" s="28">
        <f t="shared" si="6"/>
        <v>200</v>
      </c>
      <c r="AO36" s="28">
        <f t="shared" si="6"/>
        <v>0</v>
      </c>
      <c r="AP36" s="28">
        <f t="shared" si="6"/>
        <v>0</v>
      </c>
      <c r="AQ36" s="28">
        <f t="shared" si="6"/>
        <v>200</v>
      </c>
      <c r="AR36" s="28">
        <f t="shared" si="6"/>
        <v>0</v>
      </c>
      <c r="AS36" s="28">
        <f t="shared" si="6"/>
        <v>0</v>
      </c>
      <c r="AT36" s="28">
        <f t="shared" si="6"/>
        <v>200</v>
      </c>
      <c r="AU36" s="28">
        <f t="shared" si="6"/>
        <v>0</v>
      </c>
      <c r="AV36" s="28">
        <f t="shared" si="6"/>
        <v>0</v>
      </c>
      <c r="AW36" s="28">
        <f t="shared" si="6"/>
        <v>200</v>
      </c>
      <c r="AX36" s="28">
        <f t="shared" si="6"/>
        <v>0</v>
      </c>
      <c r="AY36" s="28">
        <f t="shared" si="6"/>
        <v>0</v>
      </c>
      <c r="AZ36" s="28">
        <f t="shared" si="6"/>
        <v>240</v>
      </c>
      <c r="BA36" s="28">
        <f t="shared" si="6"/>
        <v>0</v>
      </c>
      <c r="BB36" s="28">
        <f t="shared" si="6"/>
        <v>0</v>
      </c>
      <c r="BC36" s="28">
        <f t="shared" si="6"/>
        <v>240</v>
      </c>
      <c r="BD36" s="28">
        <f t="shared" si="6"/>
        <v>0</v>
      </c>
      <c r="BE36" s="28">
        <f t="shared" si="6"/>
        <v>0</v>
      </c>
      <c r="BF36" s="28">
        <f t="shared" si="6"/>
        <v>240</v>
      </c>
      <c r="BG36" s="28">
        <f t="shared" si="6"/>
        <v>0</v>
      </c>
      <c r="BH36" s="28">
        <f t="shared" si="6"/>
        <v>0</v>
      </c>
      <c r="BI36" s="28">
        <f t="shared" si="6"/>
        <v>240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00000"/>
  </sheetPr>
  <dimension ref="A1:BI18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ColWidth="8.6328125" defaultRowHeight="14.5" x14ac:dyDescent="0.35"/>
  <cols>
    <col min="1" max="1" width="42" customWidth="1"/>
    <col min="2" max="61" width="14" customWidth="1"/>
  </cols>
  <sheetData>
    <row r="1" spans="1:61" ht="17.25" customHeight="1" x14ac:dyDescent="0.4">
      <c r="A1" s="1" t="s">
        <v>257</v>
      </c>
    </row>
    <row r="2" spans="1:61" ht="15" customHeight="1" x14ac:dyDescent="0.35">
      <c r="A2" s="2" t="s">
        <v>258</v>
      </c>
    </row>
    <row r="4" spans="1:61" ht="15" customHeight="1" x14ac:dyDescent="0.35">
      <c r="A4" s="19"/>
      <c r="B4" s="19" t="s">
        <v>147</v>
      </c>
      <c r="C4" s="19" t="s">
        <v>148</v>
      </c>
      <c r="D4" s="19" t="s">
        <v>149</v>
      </c>
      <c r="E4" s="19" t="s">
        <v>150</v>
      </c>
      <c r="F4" s="19" t="s">
        <v>151</v>
      </c>
      <c r="G4" s="19" t="s">
        <v>152</v>
      </c>
      <c r="H4" s="19" t="s">
        <v>153</v>
      </c>
      <c r="I4" s="19" t="s">
        <v>154</v>
      </c>
      <c r="J4" s="19" t="s">
        <v>155</v>
      </c>
      <c r="K4" s="19" t="s">
        <v>156</v>
      </c>
      <c r="L4" s="19" t="s">
        <v>157</v>
      </c>
      <c r="M4" s="19" t="s">
        <v>158</v>
      </c>
      <c r="N4" s="19" t="s">
        <v>159</v>
      </c>
      <c r="O4" s="19" t="s">
        <v>160</v>
      </c>
      <c r="P4" s="19" t="s">
        <v>161</v>
      </c>
      <c r="Q4" s="19" t="s">
        <v>162</v>
      </c>
      <c r="R4" s="19" t="s">
        <v>163</v>
      </c>
      <c r="S4" s="19" t="s">
        <v>164</v>
      </c>
      <c r="T4" s="19" t="s">
        <v>165</v>
      </c>
      <c r="U4" s="19" t="s">
        <v>166</v>
      </c>
      <c r="V4" s="19" t="s">
        <v>167</v>
      </c>
      <c r="W4" s="19" t="s">
        <v>168</v>
      </c>
      <c r="X4" s="19" t="s">
        <v>169</v>
      </c>
      <c r="Y4" s="19" t="s">
        <v>170</v>
      </c>
      <c r="Z4" s="19" t="s">
        <v>171</v>
      </c>
      <c r="AA4" s="19" t="s">
        <v>172</v>
      </c>
      <c r="AB4" s="19" t="s">
        <v>173</v>
      </c>
      <c r="AC4" s="19" t="s">
        <v>174</v>
      </c>
      <c r="AD4" s="19" t="s">
        <v>175</v>
      </c>
      <c r="AE4" s="19" t="s">
        <v>176</v>
      </c>
      <c r="AF4" s="19" t="s">
        <v>177</v>
      </c>
      <c r="AG4" s="19" t="s">
        <v>178</v>
      </c>
      <c r="AH4" s="19" t="s">
        <v>179</v>
      </c>
      <c r="AI4" s="19" t="s">
        <v>180</v>
      </c>
      <c r="AJ4" s="19" t="s">
        <v>181</v>
      </c>
      <c r="AK4" s="19" t="s">
        <v>182</v>
      </c>
      <c r="AL4" s="19" t="s">
        <v>183</v>
      </c>
      <c r="AM4" s="19" t="s">
        <v>184</v>
      </c>
      <c r="AN4" s="19" t="s">
        <v>185</v>
      </c>
      <c r="AO4" s="19" t="s">
        <v>186</v>
      </c>
      <c r="AP4" s="19" t="s">
        <v>187</v>
      </c>
      <c r="AQ4" s="19" t="s">
        <v>188</v>
      </c>
      <c r="AR4" s="19" t="s">
        <v>189</v>
      </c>
      <c r="AS4" s="19" t="s">
        <v>190</v>
      </c>
      <c r="AT4" s="19" t="s">
        <v>191</v>
      </c>
      <c r="AU4" s="19" t="s">
        <v>192</v>
      </c>
      <c r="AV4" s="19" t="s">
        <v>193</v>
      </c>
      <c r="AW4" s="19" t="s">
        <v>194</v>
      </c>
      <c r="AX4" s="19" t="s">
        <v>195</v>
      </c>
      <c r="AY4" s="19" t="s">
        <v>196</v>
      </c>
      <c r="AZ4" s="19" t="s">
        <v>197</v>
      </c>
      <c r="BA4" s="19" t="s">
        <v>198</v>
      </c>
      <c r="BB4" s="19" t="s">
        <v>199</v>
      </c>
      <c r="BC4" s="19" t="s">
        <v>200</v>
      </c>
      <c r="BD4" s="19" t="s">
        <v>201</v>
      </c>
      <c r="BE4" s="19" t="s">
        <v>202</v>
      </c>
      <c r="BF4" s="19" t="s">
        <v>203</v>
      </c>
      <c r="BG4" s="19" t="s">
        <v>204</v>
      </c>
      <c r="BH4" s="19" t="s">
        <v>205</v>
      </c>
      <c r="BI4" s="19" t="s">
        <v>206</v>
      </c>
    </row>
    <row r="6" spans="1:61" ht="15" customHeight="1" x14ac:dyDescent="0.35">
      <c r="A6" s="5" t="s">
        <v>259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</row>
    <row r="7" spans="1:61" ht="15" customHeight="1" x14ac:dyDescent="0.35">
      <c r="A7" s="7" t="s">
        <v>260</v>
      </c>
      <c r="B7" s="34">
        <v>1</v>
      </c>
      <c r="C7" s="34">
        <v>2</v>
      </c>
      <c r="D7" s="34">
        <v>3</v>
      </c>
      <c r="E7" s="34">
        <v>4</v>
      </c>
      <c r="F7" s="34">
        <v>5</v>
      </c>
      <c r="G7" s="34">
        <v>6</v>
      </c>
      <c r="H7" s="34">
        <v>7</v>
      </c>
      <c r="I7" s="34">
        <v>8</v>
      </c>
      <c r="J7" s="34">
        <v>9</v>
      </c>
      <c r="K7" s="34">
        <v>10</v>
      </c>
      <c r="L7" s="34">
        <v>11</v>
      </c>
      <c r="M7" s="34">
        <v>12</v>
      </c>
      <c r="N7" s="34">
        <v>13</v>
      </c>
      <c r="O7" s="34">
        <v>14</v>
      </c>
      <c r="P7" s="34">
        <v>15</v>
      </c>
      <c r="Q7" s="34">
        <v>16</v>
      </c>
      <c r="R7" s="34">
        <v>17</v>
      </c>
      <c r="S7" s="34">
        <v>18</v>
      </c>
      <c r="T7" s="34">
        <v>19</v>
      </c>
      <c r="U7" s="34">
        <v>20</v>
      </c>
      <c r="V7" s="34">
        <v>21</v>
      </c>
      <c r="W7" s="34">
        <v>22</v>
      </c>
      <c r="X7" s="34">
        <v>23</v>
      </c>
      <c r="Y7" s="34">
        <v>24</v>
      </c>
      <c r="Z7" s="34">
        <v>25</v>
      </c>
      <c r="AA7" s="34">
        <v>26</v>
      </c>
      <c r="AB7" s="34">
        <v>27</v>
      </c>
      <c r="AC7" s="34">
        <v>28</v>
      </c>
      <c r="AD7" s="34">
        <v>29</v>
      </c>
      <c r="AE7" s="34">
        <v>30</v>
      </c>
      <c r="AF7" s="34">
        <v>31</v>
      </c>
      <c r="AG7" s="34">
        <v>32</v>
      </c>
      <c r="AH7" s="34">
        <v>33</v>
      </c>
      <c r="AI7" s="34">
        <v>34</v>
      </c>
      <c r="AJ7" s="34">
        <v>35</v>
      </c>
      <c r="AK7" s="34">
        <v>36</v>
      </c>
      <c r="AL7" s="34">
        <v>37</v>
      </c>
      <c r="AM7" s="34">
        <v>38</v>
      </c>
      <c r="AN7" s="34">
        <v>39</v>
      </c>
      <c r="AO7" s="34">
        <v>40</v>
      </c>
      <c r="AP7" s="34">
        <v>41</v>
      </c>
      <c r="AQ7" s="34">
        <v>42</v>
      </c>
      <c r="AR7" s="34">
        <v>43</v>
      </c>
      <c r="AS7" s="34">
        <v>44</v>
      </c>
      <c r="AT7" s="34">
        <v>45</v>
      </c>
      <c r="AU7" s="34">
        <v>46</v>
      </c>
      <c r="AV7" s="34">
        <v>47</v>
      </c>
      <c r="AW7" s="34">
        <v>48</v>
      </c>
      <c r="AX7" s="34">
        <v>49</v>
      </c>
      <c r="AY7" s="34">
        <v>50</v>
      </c>
      <c r="AZ7" s="34">
        <v>51</v>
      </c>
      <c r="BA7" s="34">
        <v>52</v>
      </c>
      <c r="BB7" s="34">
        <v>53</v>
      </c>
      <c r="BC7" s="34">
        <v>54</v>
      </c>
      <c r="BD7" s="34">
        <v>55</v>
      </c>
      <c r="BE7" s="34">
        <v>56</v>
      </c>
      <c r="BF7" s="34">
        <v>57</v>
      </c>
      <c r="BG7" s="34">
        <v>58</v>
      </c>
      <c r="BH7" s="34">
        <v>59</v>
      </c>
      <c r="BI7" s="34">
        <v>60</v>
      </c>
    </row>
    <row r="8" spans="1:61" ht="15" customHeight="1" x14ac:dyDescent="0.35">
      <c r="A8" s="10" t="s">
        <v>261</v>
      </c>
      <c r="B8" s="35">
        <f>IF(B7&gt;='Drivers &amp; Assumptions'!C31,1,0)</f>
        <v>0</v>
      </c>
      <c r="C8" s="35">
        <f>IF(C7&gt;='Drivers &amp; Assumptions'!C31,1,0)</f>
        <v>0</v>
      </c>
      <c r="D8" s="35">
        <f>IF(D7&gt;='Drivers &amp; Assumptions'!C31,1,0)</f>
        <v>0</v>
      </c>
      <c r="E8" s="35">
        <f>IF(E7&gt;='Drivers &amp; Assumptions'!C31,1,0)</f>
        <v>0</v>
      </c>
      <c r="F8" s="35">
        <f>IF(F7&gt;='Drivers &amp; Assumptions'!C31,1,0)</f>
        <v>0</v>
      </c>
      <c r="G8" s="35">
        <f>IF(G7&gt;='Drivers &amp; Assumptions'!C31,1,0)</f>
        <v>0</v>
      </c>
      <c r="H8" s="35">
        <f>IF(H7&gt;='Drivers &amp; Assumptions'!C31,1,0)</f>
        <v>0</v>
      </c>
      <c r="I8" s="35">
        <f>IF(I7&gt;='Drivers &amp; Assumptions'!C31,1,0)</f>
        <v>0</v>
      </c>
      <c r="J8" s="35">
        <f>IF(J7&gt;='Drivers &amp; Assumptions'!C31,1,0)</f>
        <v>0</v>
      </c>
      <c r="K8" s="35">
        <f>IF(K7&gt;='Drivers &amp; Assumptions'!C31,1,0)</f>
        <v>0</v>
      </c>
      <c r="L8" s="35">
        <f>IF(L7&gt;='Drivers &amp; Assumptions'!C31,1,0)</f>
        <v>0</v>
      </c>
      <c r="M8" s="35">
        <f>IF(M7&gt;='Drivers &amp; Assumptions'!C31,1,0)</f>
        <v>0</v>
      </c>
      <c r="N8" s="35">
        <f>IF(N7&gt;='Drivers &amp; Assumptions'!C31,1,0)</f>
        <v>0</v>
      </c>
      <c r="O8" s="35">
        <f>IF(O7&gt;='Drivers &amp; Assumptions'!C31,1,0)</f>
        <v>0</v>
      </c>
      <c r="P8" s="35">
        <f>IF(P7&gt;='Drivers &amp; Assumptions'!C31,1,0)</f>
        <v>0</v>
      </c>
      <c r="Q8" s="35">
        <f>IF(Q7&gt;='Drivers &amp; Assumptions'!C31,1,0)</f>
        <v>0</v>
      </c>
      <c r="R8" s="35">
        <f>IF(R7&gt;='Drivers &amp; Assumptions'!C31,1,0)</f>
        <v>0</v>
      </c>
      <c r="S8" s="35">
        <f>IF(S7&gt;='Drivers &amp; Assumptions'!C31,1,0)</f>
        <v>0</v>
      </c>
      <c r="T8" s="35">
        <f>IF(T7&gt;='Drivers &amp; Assumptions'!C31,1,0)</f>
        <v>0</v>
      </c>
      <c r="U8" s="35">
        <f>IF(U7&gt;='Drivers &amp; Assumptions'!C31,1,0)</f>
        <v>0</v>
      </c>
      <c r="V8" s="35">
        <f>IF(V7&gt;='Drivers &amp; Assumptions'!C31,1,0)</f>
        <v>0</v>
      </c>
      <c r="W8" s="35">
        <f>IF(W7&gt;='Drivers &amp; Assumptions'!C31,1,0)</f>
        <v>0</v>
      </c>
      <c r="X8" s="35">
        <f>IF(X7&gt;='Drivers &amp; Assumptions'!C31,1,0)</f>
        <v>0</v>
      </c>
      <c r="Y8" s="35">
        <f>IF(Y7&gt;='Drivers &amp; Assumptions'!C31,1,0)</f>
        <v>0</v>
      </c>
      <c r="Z8" s="35">
        <f>IF(Z7&gt;='Drivers &amp; Assumptions'!C31,1,0)</f>
        <v>0</v>
      </c>
      <c r="AA8" s="35">
        <f>IF(AA7&gt;='Drivers &amp; Assumptions'!C31,1,0)</f>
        <v>0</v>
      </c>
      <c r="AB8" s="35">
        <f>IF(AB7&gt;='Drivers &amp; Assumptions'!C31,1,0)</f>
        <v>0</v>
      </c>
      <c r="AC8" s="35">
        <f>IF(AC7&gt;='Drivers &amp; Assumptions'!C31,1,0)</f>
        <v>0</v>
      </c>
      <c r="AD8" s="35">
        <f>IF(AD7&gt;='Drivers &amp; Assumptions'!C31,1,0)</f>
        <v>0</v>
      </c>
      <c r="AE8" s="35">
        <f>IF(AE7&gt;='Drivers &amp; Assumptions'!C31,1,0)</f>
        <v>0</v>
      </c>
      <c r="AF8" s="35">
        <f>IF(AF7&gt;='Drivers &amp; Assumptions'!C31,1,0)</f>
        <v>0</v>
      </c>
      <c r="AG8" s="35">
        <f>IF(AG7&gt;='Drivers &amp; Assumptions'!C31,1,0)</f>
        <v>0</v>
      </c>
      <c r="AH8" s="35">
        <f>IF(AH7&gt;='Drivers &amp; Assumptions'!C31,1,0)</f>
        <v>0</v>
      </c>
      <c r="AI8" s="35">
        <f>IF(AI7&gt;='Drivers &amp; Assumptions'!C31,1,0)</f>
        <v>0</v>
      </c>
      <c r="AJ8" s="35">
        <f>IF(AJ7&gt;='Drivers &amp; Assumptions'!C31,1,0)</f>
        <v>0</v>
      </c>
      <c r="AK8" s="35">
        <f>IF(AK7&gt;='Drivers &amp; Assumptions'!C31,1,0)</f>
        <v>0</v>
      </c>
      <c r="AL8" s="35">
        <f>IF(AL7&gt;='Drivers &amp; Assumptions'!C31,1,0)</f>
        <v>1</v>
      </c>
      <c r="AM8" s="35">
        <f>IF(AM7&gt;='Drivers &amp; Assumptions'!C31,1,0)</f>
        <v>1</v>
      </c>
      <c r="AN8" s="35">
        <f>IF(AN7&gt;='Drivers &amp; Assumptions'!C31,1,0)</f>
        <v>1</v>
      </c>
      <c r="AO8" s="35">
        <f>IF(AO7&gt;='Drivers &amp; Assumptions'!C31,1,0)</f>
        <v>1</v>
      </c>
      <c r="AP8" s="35">
        <f>IF(AP7&gt;='Drivers &amp; Assumptions'!C31,1,0)</f>
        <v>1</v>
      </c>
      <c r="AQ8" s="35">
        <f>IF(AQ7&gt;='Drivers &amp; Assumptions'!C31,1,0)</f>
        <v>1</v>
      </c>
      <c r="AR8" s="35">
        <f>IF(AR7&gt;='Drivers &amp; Assumptions'!C31,1,0)</f>
        <v>1</v>
      </c>
      <c r="AS8" s="35">
        <f>IF(AS7&gt;='Drivers &amp; Assumptions'!C31,1,0)</f>
        <v>1</v>
      </c>
      <c r="AT8" s="35">
        <f>IF(AT7&gt;='Drivers &amp; Assumptions'!C31,1,0)</f>
        <v>1</v>
      </c>
      <c r="AU8" s="35">
        <f>IF(AU7&gt;='Drivers &amp; Assumptions'!C31,1,0)</f>
        <v>1</v>
      </c>
      <c r="AV8" s="35">
        <f>IF(AV7&gt;='Drivers &amp; Assumptions'!C31,1,0)</f>
        <v>1</v>
      </c>
      <c r="AW8" s="35">
        <f>IF(AW7&gt;='Drivers &amp; Assumptions'!C31,1,0)</f>
        <v>1</v>
      </c>
      <c r="AX8" s="35">
        <f>IF(AX7&gt;='Drivers &amp; Assumptions'!C31,1,0)</f>
        <v>1</v>
      </c>
      <c r="AY8" s="35">
        <f>IF(AY7&gt;='Drivers &amp; Assumptions'!C31,1,0)</f>
        <v>1</v>
      </c>
      <c r="AZ8" s="35">
        <f>IF(AZ7&gt;='Drivers &amp; Assumptions'!C31,1,0)</f>
        <v>1</v>
      </c>
      <c r="BA8" s="35">
        <f>IF(BA7&gt;='Drivers &amp; Assumptions'!C31,1,0)</f>
        <v>1</v>
      </c>
      <c r="BB8" s="35">
        <f>IF(BB7&gt;='Drivers &amp; Assumptions'!C31,1,0)</f>
        <v>1</v>
      </c>
      <c r="BC8" s="35">
        <f>IF(BC7&gt;='Drivers &amp; Assumptions'!C31,1,0)</f>
        <v>1</v>
      </c>
      <c r="BD8" s="35">
        <f>IF(BD7&gt;='Drivers &amp; Assumptions'!C31,1,0)</f>
        <v>1</v>
      </c>
      <c r="BE8" s="35">
        <f>IF(BE7&gt;='Drivers &amp; Assumptions'!C31,1,0)</f>
        <v>1</v>
      </c>
      <c r="BF8" s="35">
        <f>IF(BF7&gt;='Drivers &amp; Assumptions'!C31,1,0)</f>
        <v>1</v>
      </c>
      <c r="BG8" s="35">
        <f>IF(BG7&gt;='Drivers &amp; Assumptions'!C31,1,0)</f>
        <v>1</v>
      </c>
      <c r="BH8" s="35">
        <f>IF(BH7&gt;='Drivers &amp; Assumptions'!C31,1,0)</f>
        <v>1</v>
      </c>
      <c r="BI8" s="35">
        <f>IF(BI7&gt;='Drivers &amp; Assumptions'!C31,1,0)</f>
        <v>1</v>
      </c>
    </row>
    <row r="9" spans="1:61" ht="15" customHeight="1" x14ac:dyDescent="0.35">
      <c r="A9" s="7" t="s">
        <v>262</v>
      </c>
      <c r="B9" s="28">
        <f>IF(B8=1,B7-'Drivers &amp; Assumptions'!C31+1,0)</f>
        <v>0</v>
      </c>
      <c r="C9" s="28">
        <f>IF(C8=1,C7-'Drivers &amp; Assumptions'!C31+1,0)</f>
        <v>0</v>
      </c>
      <c r="D9" s="28">
        <f>IF(D8=1,D7-'Drivers &amp; Assumptions'!C31+1,0)</f>
        <v>0</v>
      </c>
      <c r="E9" s="28">
        <f>IF(E8=1,E7-'Drivers &amp; Assumptions'!C31+1,0)</f>
        <v>0</v>
      </c>
      <c r="F9" s="28">
        <f>IF(F8=1,F7-'Drivers &amp; Assumptions'!C31+1,0)</f>
        <v>0</v>
      </c>
      <c r="G9" s="28">
        <f>IF(G8=1,G7-'Drivers &amp; Assumptions'!C31+1,0)</f>
        <v>0</v>
      </c>
      <c r="H9" s="28">
        <f>IF(H8=1,H7-'Drivers &amp; Assumptions'!C31+1,0)</f>
        <v>0</v>
      </c>
      <c r="I9" s="28">
        <f>IF(I8=1,I7-'Drivers &amp; Assumptions'!C31+1,0)</f>
        <v>0</v>
      </c>
      <c r="J9" s="28">
        <f>IF(J8=1,J7-'Drivers &amp; Assumptions'!C31+1,0)</f>
        <v>0</v>
      </c>
      <c r="K9" s="28">
        <f>IF(K8=1,K7-'Drivers &amp; Assumptions'!C31+1,0)</f>
        <v>0</v>
      </c>
      <c r="L9" s="28">
        <f>IF(L8=1,L7-'Drivers &amp; Assumptions'!C31+1,0)</f>
        <v>0</v>
      </c>
      <c r="M9" s="28">
        <f>IF(M8=1,M7-'Drivers &amp; Assumptions'!C31+1,0)</f>
        <v>0</v>
      </c>
      <c r="N9" s="28">
        <f>IF(N8=1,N7-'Drivers &amp; Assumptions'!C31+1,0)</f>
        <v>0</v>
      </c>
      <c r="O9" s="28">
        <f>IF(O8=1,O7-'Drivers &amp; Assumptions'!C31+1,0)</f>
        <v>0</v>
      </c>
      <c r="P9" s="28">
        <f>IF(P8=1,P7-'Drivers &amp; Assumptions'!C31+1,0)</f>
        <v>0</v>
      </c>
      <c r="Q9" s="28">
        <f>IF(Q8=1,Q7-'Drivers &amp; Assumptions'!C31+1,0)</f>
        <v>0</v>
      </c>
      <c r="R9" s="28">
        <f>IF(R8=1,R7-'Drivers &amp; Assumptions'!C31+1,0)</f>
        <v>0</v>
      </c>
      <c r="S9" s="28">
        <f>IF(S8=1,S7-'Drivers &amp; Assumptions'!C31+1,0)</f>
        <v>0</v>
      </c>
      <c r="T9" s="28">
        <f>IF(T8=1,T7-'Drivers &amp; Assumptions'!C31+1,0)</f>
        <v>0</v>
      </c>
      <c r="U9" s="28">
        <f>IF(U8=1,U7-'Drivers &amp; Assumptions'!C31+1,0)</f>
        <v>0</v>
      </c>
      <c r="V9" s="28">
        <f>IF(V8=1,V7-'Drivers &amp; Assumptions'!C31+1,0)</f>
        <v>0</v>
      </c>
      <c r="W9" s="28">
        <f>IF(W8=1,W7-'Drivers &amp; Assumptions'!C31+1,0)</f>
        <v>0</v>
      </c>
      <c r="X9" s="28">
        <f>IF(X8=1,X7-'Drivers &amp; Assumptions'!C31+1,0)</f>
        <v>0</v>
      </c>
      <c r="Y9" s="28">
        <f>IF(Y8=1,Y7-'Drivers &amp; Assumptions'!C31+1,0)</f>
        <v>0</v>
      </c>
      <c r="Z9" s="28">
        <f>IF(Z8=1,Z7-'Drivers &amp; Assumptions'!C31+1,0)</f>
        <v>0</v>
      </c>
      <c r="AA9" s="28">
        <f>IF(AA8=1,AA7-'Drivers &amp; Assumptions'!C31+1,0)</f>
        <v>0</v>
      </c>
      <c r="AB9" s="28">
        <f>IF(AB8=1,AB7-'Drivers &amp; Assumptions'!C31+1,0)</f>
        <v>0</v>
      </c>
      <c r="AC9" s="28">
        <f>IF(AC8=1,AC7-'Drivers &amp; Assumptions'!C31+1,0)</f>
        <v>0</v>
      </c>
      <c r="AD9" s="28">
        <f>IF(AD8=1,AD7-'Drivers &amp; Assumptions'!C31+1,0)</f>
        <v>0</v>
      </c>
      <c r="AE9" s="28">
        <f>IF(AE8=1,AE7-'Drivers &amp; Assumptions'!C31+1,0)</f>
        <v>0</v>
      </c>
      <c r="AF9" s="28">
        <f>IF(AF8=1,AF7-'Drivers &amp; Assumptions'!C31+1,0)</f>
        <v>0</v>
      </c>
      <c r="AG9" s="28">
        <f>IF(AG8=1,AG7-'Drivers &amp; Assumptions'!C31+1,0)</f>
        <v>0</v>
      </c>
      <c r="AH9" s="28">
        <f>IF(AH8=1,AH7-'Drivers &amp; Assumptions'!C31+1,0)</f>
        <v>0</v>
      </c>
      <c r="AI9" s="28">
        <f>IF(AI8=1,AI7-'Drivers &amp; Assumptions'!C31+1,0)</f>
        <v>0</v>
      </c>
      <c r="AJ9" s="28">
        <f>IF(AJ8=1,AJ7-'Drivers &amp; Assumptions'!C31+1,0)</f>
        <v>0</v>
      </c>
      <c r="AK9" s="28">
        <f>IF(AK8=1,AK7-'Drivers &amp; Assumptions'!C31+1,0)</f>
        <v>0</v>
      </c>
      <c r="AL9" s="28">
        <f>IF(AL8=1,AL7-'Drivers &amp; Assumptions'!C31+1,0)</f>
        <v>1</v>
      </c>
      <c r="AM9" s="28">
        <f>IF(AM8=1,AM7-'Drivers &amp; Assumptions'!C31+1,0)</f>
        <v>2</v>
      </c>
      <c r="AN9" s="28">
        <f>IF(AN8=1,AN7-'Drivers &amp; Assumptions'!C31+1,0)</f>
        <v>3</v>
      </c>
      <c r="AO9" s="28">
        <f>IF(AO8=1,AO7-'Drivers &amp; Assumptions'!C31+1,0)</f>
        <v>4</v>
      </c>
      <c r="AP9" s="28">
        <f>IF(AP8=1,AP7-'Drivers &amp; Assumptions'!C31+1,0)</f>
        <v>5</v>
      </c>
      <c r="AQ9" s="28">
        <f>IF(AQ8=1,AQ7-'Drivers &amp; Assumptions'!C31+1,0)</f>
        <v>6</v>
      </c>
      <c r="AR9" s="28">
        <f>IF(AR8=1,AR7-'Drivers &amp; Assumptions'!C31+1,0)</f>
        <v>7</v>
      </c>
      <c r="AS9" s="28">
        <f>IF(AS8=1,AS7-'Drivers &amp; Assumptions'!C31+1,0)</f>
        <v>8</v>
      </c>
      <c r="AT9" s="28">
        <f>IF(AT8=1,AT7-'Drivers &amp; Assumptions'!C31+1,0)</f>
        <v>9</v>
      </c>
      <c r="AU9" s="28">
        <f>IF(AU8=1,AU7-'Drivers &amp; Assumptions'!C31+1,0)</f>
        <v>10</v>
      </c>
      <c r="AV9" s="28">
        <f>IF(AV8=1,AV7-'Drivers &amp; Assumptions'!C31+1,0)</f>
        <v>11</v>
      </c>
      <c r="AW9" s="28">
        <f>IF(AW8=1,AW7-'Drivers &amp; Assumptions'!C31+1,0)</f>
        <v>12</v>
      </c>
      <c r="AX9" s="28">
        <f>IF(AX8=1,AX7-'Drivers &amp; Assumptions'!C31+1,0)</f>
        <v>13</v>
      </c>
      <c r="AY9" s="28">
        <f>IF(AY8=1,AY7-'Drivers &amp; Assumptions'!C31+1,0)</f>
        <v>14</v>
      </c>
      <c r="AZ9" s="28">
        <f>IF(AZ8=1,AZ7-'Drivers &amp; Assumptions'!C31+1,0)</f>
        <v>15</v>
      </c>
      <c r="BA9" s="28">
        <f>IF(BA8=1,BA7-'Drivers &amp; Assumptions'!C31+1,0)</f>
        <v>16</v>
      </c>
      <c r="BB9" s="28">
        <f>IF(BB8=1,BB7-'Drivers &amp; Assumptions'!C31+1,0)</f>
        <v>17</v>
      </c>
      <c r="BC9" s="28">
        <f>IF(BC8=1,BC7-'Drivers &amp; Assumptions'!C31+1,0)</f>
        <v>18</v>
      </c>
      <c r="BD9" s="28">
        <f>IF(BD8=1,BD7-'Drivers &amp; Assumptions'!C31+1,0)</f>
        <v>19</v>
      </c>
      <c r="BE9" s="28">
        <f>IF(BE8=1,BE7-'Drivers &amp; Assumptions'!C31+1,0)</f>
        <v>20</v>
      </c>
      <c r="BF9" s="28">
        <f>IF(BF8=1,BF7-'Drivers &amp; Assumptions'!C31+1,0)</f>
        <v>21</v>
      </c>
      <c r="BG9" s="28">
        <f>IF(BG8=1,BG7-'Drivers &amp; Assumptions'!C31+1,0)</f>
        <v>22</v>
      </c>
      <c r="BH9" s="28">
        <f>IF(BH8=1,BH7-'Drivers &amp; Assumptions'!C31+1,0)</f>
        <v>23</v>
      </c>
      <c r="BI9" s="28">
        <f>IF(BI8=1,BI7-'Drivers &amp; Assumptions'!C31+1,0)</f>
        <v>24</v>
      </c>
    </row>
    <row r="11" spans="1:61" ht="15" customHeight="1" x14ac:dyDescent="0.35">
      <c r="A11" s="5" t="s">
        <v>263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</row>
    <row r="12" spans="1:61" ht="15" customHeight="1" x14ac:dyDescent="0.35">
      <c r="A12" s="10" t="s">
        <v>264</v>
      </c>
      <c r="B12" s="35">
        <f>IF(B8=0,0,'Drivers &amp; Assumptions'!C37+(B9-1)*'Drivers &amp; Assumptions'!C38)</f>
        <v>0</v>
      </c>
      <c r="C12" s="35">
        <f>IF(C8=0,0,'Drivers &amp; Assumptions'!C37+(C9-1)*'Drivers &amp; Assumptions'!C38)</f>
        <v>0</v>
      </c>
      <c r="D12" s="35">
        <f>IF(D8=0,0,'Drivers &amp; Assumptions'!C37+(D9-1)*'Drivers &amp; Assumptions'!C38)</f>
        <v>0</v>
      </c>
      <c r="E12" s="35">
        <f>IF(E8=0,0,'Drivers &amp; Assumptions'!C37+(E9-1)*'Drivers &amp; Assumptions'!C38)</f>
        <v>0</v>
      </c>
      <c r="F12" s="35">
        <f>IF(F8=0,0,'Drivers &amp; Assumptions'!C37+(F9-1)*'Drivers &amp; Assumptions'!C38)</f>
        <v>0</v>
      </c>
      <c r="G12" s="35">
        <f>IF(G8=0,0,'Drivers &amp; Assumptions'!C37+(G9-1)*'Drivers &amp; Assumptions'!C38)</f>
        <v>0</v>
      </c>
      <c r="H12" s="35">
        <f>IF(H8=0,0,'Drivers &amp; Assumptions'!C37+(H9-1)*'Drivers &amp; Assumptions'!C38)</f>
        <v>0</v>
      </c>
      <c r="I12" s="35">
        <f>IF(I8=0,0,'Drivers &amp; Assumptions'!C37+(I9-1)*'Drivers &amp; Assumptions'!C38)</f>
        <v>0</v>
      </c>
      <c r="J12" s="35">
        <f>IF(J8=0,0,'Drivers &amp; Assumptions'!C37+(J9-1)*'Drivers &amp; Assumptions'!C38)</f>
        <v>0</v>
      </c>
      <c r="K12" s="35">
        <f>IF(K8=0,0,'Drivers &amp; Assumptions'!C37+(K9-1)*'Drivers &amp; Assumptions'!C38)</f>
        <v>0</v>
      </c>
      <c r="L12" s="35">
        <f>IF(L8=0,0,'Drivers &amp; Assumptions'!C37+(L9-1)*'Drivers &amp; Assumptions'!C38)</f>
        <v>0</v>
      </c>
      <c r="M12" s="35">
        <f>IF(M8=0,0,'Drivers &amp; Assumptions'!C37+(M9-1)*'Drivers &amp; Assumptions'!C38)</f>
        <v>0</v>
      </c>
      <c r="N12" s="35">
        <f>IF(N8=0,0,'Drivers &amp; Assumptions'!C37+(N9-1)*'Drivers &amp; Assumptions'!C38)</f>
        <v>0</v>
      </c>
      <c r="O12" s="35">
        <f>IF(O8=0,0,'Drivers &amp; Assumptions'!C37+(O9-1)*'Drivers &amp; Assumptions'!C38)</f>
        <v>0</v>
      </c>
      <c r="P12" s="35">
        <f>IF(P8=0,0,'Drivers &amp; Assumptions'!C37+(P9-1)*'Drivers &amp; Assumptions'!C38)</f>
        <v>0</v>
      </c>
      <c r="Q12" s="35">
        <f>IF(Q8=0,0,'Drivers &amp; Assumptions'!C37+(Q9-1)*'Drivers &amp; Assumptions'!C38)</f>
        <v>0</v>
      </c>
      <c r="R12" s="35">
        <f>IF(R8=0,0,'Drivers &amp; Assumptions'!C37+(R9-1)*'Drivers &amp; Assumptions'!C38)</f>
        <v>0</v>
      </c>
      <c r="S12" s="35">
        <f>IF(S8=0,0,'Drivers &amp; Assumptions'!C37+(S9-1)*'Drivers &amp; Assumptions'!C38)</f>
        <v>0</v>
      </c>
      <c r="T12" s="35">
        <f>IF(T8=0,0,'Drivers &amp; Assumptions'!C37+(T9-1)*'Drivers &amp; Assumptions'!C38)</f>
        <v>0</v>
      </c>
      <c r="U12" s="35">
        <f>IF(U8=0,0,'Drivers &amp; Assumptions'!C37+(U9-1)*'Drivers &amp; Assumptions'!C38)</f>
        <v>0</v>
      </c>
      <c r="V12" s="35">
        <f>IF(V8=0,0,'Drivers &amp; Assumptions'!C37+(V9-1)*'Drivers &amp; Assumptions'!C38)</f>
        <v>0</v>
      </c>
      <c r="W12" s="35">
        <f>IF(W8=0,0,'Drivers &amp; Assumptions'!C37+(W9-1)*'Drivers &amp; Assumptions'!C38)</f>
        <v>0</v>
      </c>
      <c r="X12" s="35">
        <f>IF(X8=0,0,'Drivers &amp; Assumptions'!C37+(X9-1)*'Drivers &amp; Assumptions'!C38)</f>
        <v>0</v>
      </c>
      <c r="Y12" s="35">
        <f>IF(Y8=0,0,'Drivers &amp; Assumptions'!C37+(Y9-1)*'Drivers &amp; Assumptions'!C38)</f>
        <v>0</v>
      </c>
      <c r="Z12" s="35">
        <f>IF(Z8=0,0,'Drivers &amp; Assumptions'!C37+(Z9-1)*'Drivers &amp; Assumptions'!C38)</f>
        <v>0</v>
      </c>
      <c r="AA12" s="35">
        <f>IF(AA8=0,0,'Drivers &amp; Assumptions'!C37+(AA9-1)*'Drivers &amp; Assumptions'!C38)</f>
        <v>0</v>
      </c>
      <c r="AB12" s="35">
        <f>IF(AB8=0,0,'Drivers &amp; Assumptions'!C37+(AB9-1)*'Drivers &amp; Assumptions'!C38)</f>
        <v>0</v>
      </c>
      <c r="AC12" s="35">
        <f>IF(AC8=0,0,'Drivers &amp; Assumptions'!C37+(AC9-1)*'Drivers &amp; Assumptions'!C38)</f>
        <v>0</v>
      </c>
      <c r="AD12" s="35">
        <f>IF(AD8=0,0,'Drivers &amp; Assumptions'!C37+(AD9-1)*'Drivers &amp; Assumptions'!C38)</f>
        <v>0</v>
      </c>
      <c r="AE12" s="35">
        <f>IF(AE8=0,0,'Drivers &amp; Assumptions'!C37+(AE9-1)*'Drivers &amp; Assumptions'!C38)</f>
        <v>0</v>
      </c>
      <c r="AF12" s="35">
        <f>IF(AF8=0,0,'Drivers &amp; Assumptions'!C37+(AF9-1)*'Drivers &amp; Assumptions'!C38)</f>
        <v>0</v>
      </c>
      <c r="AG12" s="35">
        <f>IF(AG8=0,0,'Drivers &amp; Assumptions'!C37+(AG9-1)*'Drivers &amp; Assumptions'!C38)</f>
        <v>0</v>
      </c>
      <c r="AH12" s="35">
        <f>IF(AH8=0,0,'Drivers &amp; Assumptions'!C37+(AH9-1)*'Drivers &amp; Assumptions'!C38)</f>
        <v>0</v>
      </c>
      <c r="AI12" s="35">
        <f>IF(AI8=0,0,'Drivers &amp; Assumptions'!C37+(AI9-1)*'Drivers &amp; Assumptions'!C38)</f>
        <v>0</v>
      </c>
      <c r="AJ12" s="35">
        <f>IF(AJ8=0,0,'Drivers &amp; Assumptions'!C37+(AJ9-1)*'Drivers &amp; Assumptions'!C38)</f>
        <v>0</v>
      </c>
      <c r="AK12" s="35">
        <f>IF(AK8=0,0,'Drivers &amp; Assumptions'!C37+(AK9-1)*'Drivers &amp; Assumptions'!C38)</f>
        <v>0</v>
      </c>
      <c r="AL12" s="35">
        <f>IF(AL8=0,0,'Drivers &amp; Assumptions'!C37+(AL9-1)*'Drivers &amp; Assumptions'!C38)</f>
        <v>20</v>
      </c>
      <c r="AM12" s="35">
        <f>IF(AM8=0,0,'Drivers &amp; Assumptions'!C37+(AM9-1)*'Drivers &amp; Assumptions'!C38)</f>
        <v>25</v>
      </c>
      <c r="AN12" s="35">
        <f>IF(AN8=0,0,'Drivers &amp; Assumptions'!C37+(AN9-1)*'Drivers &amp; Assumptions'!C38)</f>
        <v>30</v>
      </c>
      <c r="AO12" s="35">
        <f>IF(AO8=0,0,'Drivers &amp; Assumptions'!C37+(AO9-1)*'Drivers &amp; Assumptions'!C38)</f>
        <v>35</v>
      </c>
      <c r="AP12" s="35">
        <f>IF(AP8=0,0,'Drivers &amp; Assumptions'!C37+(AP9-1)*'Drivers &amp; Assumptions'!C38)</f>
        <v>40</v>
      </c>
      <c r="AQ12" s="35">
        <f>IF(AQ8=0,0,'Drivers &amp; Assumptions'!C37+(AQ9-1)*'Drivers &amp; Assumptions'!C38)</f>
        <v>45</v>
      </c>
      <c r="AR12" s="35">
        <f>IF(AR8=0,0,'Drivers &amp; Assumptions'!C37+(AR9-1)*'Drivers &amp; Assumptions'!C38)</f>
        <v>50</v>
      </c>
      <c r="AS12" s="35">
        <f>IF(AS8=0,0,'Drivers &amp; Assumptions'!C37+(AS9-1)*'Drivers &amp; Assumptions'!C38)</f>
        <v>55</v>
      </c>
      <c r="AT12" s="35">
        <f>IF(AT8=0,0,'Drivers &amp; Assumptions'!C37+(AT9-1)*'Drivers &amp; Assumptions'!C38)</f>
        <v>60</v>
      </c>
      <c r="AU12" s="35">
        <f>IF(AU8=0,0,'Drivers &amp; Assumptions'!C37+(AU9-1)*'Drivers &amp; Assumptions'!C38)</f>
        <v>65</v>
      </c>
      <c r="AV12" s="35">
        <f>IF(AV8=0,0,'Drivers &amp; Assumptions'!C37+(AV9-1)*'Drivers &amp; Assumptions'!C38)</f>
        <v>70</v>
      </c>
      <c r="AW12" s="35">
        <f>IF(AW8=0,0,'Drivers &amp; Assumptions'!C37+(AW9-1)*'Drivers &amp; Assumptions'!C38)</f>
        <v>75</v>
      </c>
      <c r="AX12" s="35">
        <f>IF(AX8=0,0,'Drivers &amp; Assumptions'!C37+(AX9-1)*'Drivers &amp; Assumptions'!C38)</f>
        <v>80</v>
      </c>
      <c r="AY12" s="35">
        <f>IF(AY8=0,0,'Drivers &amp; Assumptions'!C37+(AY9-1)*'Drivers &amp; Assumptions'!C38)</f>
        <v>85</v>
      </c>
      <c r="AZ12" s="35">
        <f>IF(AZ8=0,0,'Drivers &amp; Assumptions'!C37+(AZ9-1)*'Drivers &amp; Assumptions'!C38)</f>
        <v>90</v>
      </c>
      <c r="BA12" s="35">
        <f>IF(BA8=0,0,'Drivers &amp; Assumptions'!C37+(BA9-1)*'Drivers &amp; Assumptions'!C38)</f>
        <v>95</v>
      </c>
      <c r="BB12" s="35">
        <f>IF(BB8=0,0,'Drivers &amp; Assumptions'!C37+(BB9-1)*'Drivers &amp; Assumptions'!C38)</f>
        <v>100</v>
      </c>
      <c r="BC12" s="35">
        <f>IF(BC8=0,0,'Drivers &amp; Assumptions'!C37+(BC9-1)*'Drivers &amp; Assumptions'!C38)</f>
        <v>105</v>
      </c>
      <c r="BD12" s="35">
        <f>IF(BD8=0,0,'Drivers &amp; Assumptions'!C37+(BD9-1)*'Drivers &amp; Assumptions'!C38)</f>
        <v>110</v>
      </c>
      <c r="BE12" s="35">
        <f>IF(BE8=0,0,'Drivers &amp; Assumptions'!C37+(BE9-1)*'Drivers &amp; Assumptions'!C38)</f>
        <v>115</v>
      </c>
      <c r="BF12" s="35">
        <f>IF(BF8=0,0,'Drivers &amp; Assumptions'!C37+(BF9-1)*'Drivers &amp; Assumptions'!C38)</f>
        <v>120</v>
      </c>
      <c r="BG12" s="35">
        <f>IF(BG8=0,0,'Drivers &amp; Assumptions'!C37+(BG9-1)*'Drivers &amp; Assumptions'!C38)</f>
        <v>125</v>
      </c>
      <c r="BH12" s="35">
        <f>IF(BH8=0,0,'Drivers &amp; Assumptions'!C37+(BH9-1)*'Drivers &amp; Assumptions'!C38)</f>
        <v>130</v>
      </c>
      <c r="BI12" s="35">
        <f>IF(BI8=0,0,'Drivers &amp; Assumptions'!C37+(BI9-1)*'Drivers &amp; Assumptions'!C38)</f>
        <v>135</v>
      </c>
    </row>
    <row r="13" spans="1:61" ht="15" customHeight="1" x14ac:dyDescent="0.35">
      <c r="A13" s="7" t="s">
        <v>265</v>
      </c>
      <c r="B13" s="28">
        <f>IF(B8=0,0,ROUND('Drivers &amp; Assumptions'!C39*(1+'Drivers &amp; Assumptions'!C40)^INT((B9-1)/12),0))</f>
        <v>0</v>
      </c>
      <c r="C13" s="28">
        <f>IF(C8=0,0,ROUND('Drivers &amp; Assumptions'!C39*(1+'Drivers &amp; Assumptions'!C40)^INT((C9-1)/12),0))</f>
        <v>0</v>
      </c>
      <c r="D13" s="28">
        <f>IF(D8=0,0,ROUND('Drivers &amp; Assumptions'!C39*(1+'Drivers &amp; Assumptions'!C40)^INT((D9-1)/12),0))</f>
        <v>0</v>
      </c>
      <c r="E13" s="28">
        <f>IF(E8=0,0,ROUND('Drivers &amp; Assumptions'!C39*(1+'Drivers &amp; Assumptions'!C40)^INT((E9-1)/12),0))</f>
        <v>0</v>
      </c>
      <c r="F13" s="28">
        <f>IF(F8=0,0,ROUND('Drivers &amp; Assumptions'!C39*(1+'Drivers &amp; Assumptions'!C40)^INT((F9-1)/12),0))</f>
        <v>0</v>
      </c>
      <c r="G13" s="28">
        <f>IF(G8=0,0,ROUND('Drivers &amp; Assumptions'!C39*(1+'Drivers &amp; Assumptions'!C40)^INT((G9-1)/12),0))</f>
        <v>0</v>
      </c>
      <c r="H13" s="28">
        <f>IF(H8=0,0,ROUND('Drivers &amp; Assumptions'!C39*(1+'Drivers &amp; Assumptions'!C40)^INT((H9-1)/12),0))</f>
        <v>0</v>
      </c>
      <c r="I13" s="28">
        <f>IF(I8=0,0,ROUND('Drivers &amp; Assumptions'!C39*(1+'Drivers &amp; Assumptions'!C40)^INT((I9-1)/12),0))</f>
        <v>0</v>
      </c>
      <c r="J13" s="28">
        <f>IF(J8=0,0,ROUND('Drivers &amp; Assumptions'!C39*(1+'Drivers &amp; Assumptions'!C40)^INT((J9-1)/12),0))</f>
        <v>0</v>
      </c>
      <c r="K13" s="28">
        <f>IF(K8=0,0,ROUND('Drivers &amp; Assumptions'!C39*(1+'Drivers &amp; Assumptions'!C40)^INT((K9-1)/12),0))</f>
        <v>0</v>
      </c>
      <c r="L13" s="28">
        <f>IF(L8=0,0,ROUND('Drivers &amp; Assumptions'!C39*(1+'Drivers &amp; Assumptions'!C40)^INT((L9-1)/12),0))</f>
        <v>0</v>
      </c>
      <c r="M13" s="28">
        <f>IF(M8=0,0,ROUND('Drivers &amp; Assumptions'!C39*(1+'Drivers &amp; Assumptions'!C40)^INT((M9-1)/12),0))</f>
        <v>0</v>
      </c>
      <c r="N13" s="28">
        <f>IF(N8=0,0,ROUND('Drivers &amp; Assumptions'!C39*(1+'Drivers &amp; Assumptions'!C40)^INT((N9-1)/12),0))</f>
        <v>0</v>
      </c>
      <c r="O13" s="28">
        <f>IF(O8=0,0,ROUND('Drivers &amp; Assumptions'!C39*(1+'Drivers &amp; Assumptions'!C40)^INT((O9-1)/12),0))</f>
        <v>0</v>
      </c>
      <c r="P13" s="28">
        <f>IF(P8=0,0,ROUND('Drivers &amp; Assumptions'!C39*(1+'Drivers &amp; Assumptions'!C40)^INT((P9-1)/12),0))</f>
        <v>0</v>
      </c>
      <c r="Q13" s="28">
        <f>IF(Q8=0,0,ROUND('Drivers &amp; Assumptions'!C39*(1+'Drivers &amp; Assumptions'!C40)^INT((Q9-1)/12),0))</f>
        <v>0</v>
      </c>
      <c r="R13" s="28">
        <f>IF(R8=0,0,ROUND('Drivers &amp; Assumptions'!C39*(1+'Drivers &amp; Assumptions'!C40)^INT((R9-1)/12),0))</f>
        <v>0</v>
      </c>
      <c r="S13" s="28">
        <f>IF(S8=0,0,ROUND('Drivers &amp; Assumptions'!C39*(1+'Drivers &amp; Assumptions'!C40)^INT((S9-1)/12),0))</f>
        <v>0</v>
      </c>
      <c r="T13" s="28">
        <f>IF(T8=0,0,ROUND('Drivers &amp; Assumptions'!C39*(1+'Drivers &amp; Assumptions'!C40)^INT((T9-1)/12),0))</f>
        <v>0</v>
      </c>
      <c r="U13" s="28">
        <f>IF(U8=0,0,ROUND('Drivers &amp; Assumptions'!C39*(1+'Drivers &amp; Assumptions'!C40)^INT((U9-1)/12),0))</f>
        <v>0</v>
      </c>
      <c r="V13" s="28">
        <f>IF(V8=0,0,ROUND('Drivers &amp; Assumptions'!C39*(1+'Drivers &amp; Assumptions'!C40)^INT((V9-1)/12),0))</f>
        <v>0</v>
      </c>
      <c r="W13" s="28">
        <f>IF(W8=0,0,ROUND('Drivers &amp; Assumptions'!C39*(1+'Drivers &amp; Assumptions'!C40)^INT((W9-1)/12),0))</f>
        <v>0</v>
      </c>
      <c r="X13" s="28">
        <f>IF(X8=0,0,ROUND('Drivers &amp; Assumptions'!C39*(1+'Drivers &amp; Assumptions'!C40)^INT((X9-1)/12),0))</f>
        <v>0</v>
      </c>
      <c r="Y13" s="28">
        <f>IF(Y8=0,0,ROUND('Drivers &amp; Assumptions'!C39*(1+'Drivers &amp; Assumptions'!C40)^INT((Y9-1)/12),0))</f>
        <v>0</v>
      </c>
      <c r="Z13" s="28">
        <f>IF(Z8=0,0,ROUND('Drivers &amp; Assumptions'!C39*(1+'Drivers &amp; Assumptions'!C40)^INT((Z9-1)/12),0))</f>
        <v>0</v>
      </c>
      <c r="AA13" s="28">
        <f>IF(AA8=0,0,ROUND('Drivers &amp; Assumptions'!C39*(1+'Drivers &amp; Assumptions'!C40)^INT((AA9-1)/12),0))</f>
        <v>0</v>
      </c>
      <c r="AB13" s="28">
        <f>IF(AB8=0,0,ROUND('Drivers &amp; Assumptions'!C39*(1+'Drivers &amp; Assumptions'!C40)^INT((AB9-1)/12),0))</f>
        <v>0</v>
      </c>
      <c r="AC13" s="28">
        <f>IF(AC8=0,0,ROUND('Drivers &amp; Assumptions'!C39*(1+'Drivers &amp; Assumptions'!C40)^INT((AC9-1)/12),0))</f>
        <v>0</v>
      </c>
      <c r="AD13" s="28">
        <f>IF(AD8=0,0,ROUND('Drivers &amp; Assumptions'!C39*(1+'Drivers &amp; Assumptions'!C40)^INT((AD9-1)/12),0))</f>
        <v>0</v>
      </c>
      <c r="AE13" s="28">
        <f>IF(AE8=0,0,ROUND('Drivers &amp; Assumptions'!C39*(1+'Drivers &amp; Assumptions'!C40)^INT((AE9-1)/12),0))</f>
        <v>0</v>
      </c>
      <c r="AF13" s="28">
        <f>IF(AF8=0,0,ROUND('Drivers &amp; Assumptions'!C39*(1+'Drivers &amp; Assumptions'!C40)^INT((AF9-1)/12),0))</f>
        <v>0</v>
      </c>
      <c r="AG13" s="28">
        <f>IF(AG8=0,0,ROUND('Drivers &amp; Assumptions'!C39*(1+'Drivers &amp; Assumptions'!C40)^INT((AG9-1)/12),0))</f>
        <v>0</v>
      </c>
      <c r="AH13" s="28">
        <f>IF(AH8=0,0,ROUND('Drivers &amp; Assumptions'!C39*(1+'Drivers &amp; Assumptions'!C40)^INT((AH9-1)/12),0))</f>
        <v>0</v>
      </c>
      <c r="AI13" s="28">
        <f>IF(AI8=0,0,ROUND('Drivers &amp; Assumptions'!C39*(1+'Drivers &amp; Assumptions'!C40)^INT((AI9-1)/12),0))</f>
        <v>0</v>
      </c>
      <c r="AJ13" s="28">
        <f>IF(AJ8=0,0,ROUND('Drivers &amp; Assumptions'!C39*(1+'Drivers &amp; Assumptions'!C40)^INT((AJ9-1)/12),0))</f>
        <v>0</v>
      </c>
      <c r="AK13" s="28">
        <f>IF(AK8=0,0,ROUND('Drivers &amp; Assumptions'!C39*(1+'Drivers &amp; Assumptions'!C40)^INT((AK9-1)/12),0))</f>
        <v>0</v>
      </c>
      <c r="AL13" s="28">
        <f>IF(AL8=0,0,ROUND('Drivers &amp; Assumptions'!C39*(1+'Drivers &amp; Assumptions'!C40)^INT((AL9-1)/12),0))</f>
        <v>8</v>
      </c>
      <c r="AM13" s="28">
        <f>IF(AM8=0,0,ROUND('Drivers &amp; Assumptions'!C39*(1+'Drivers &amp; Assumptions'!C40)^INT((AM9-1)/12),0))</f>
        <v>8</v>
      </c>
      <c r="AN13" s="28">
        <f>IF(AN8=0,0,ROUND('Drivers &amp; Assumptions'!C39*(1+'Drivers &amp; Assumptions'!C40)^INT((AN9-1)/12),0))</f>
        <v>8</v>
      </c>
      <c r="AO13" s="28">
        <f>IF(AO8=0,0,ROUND('Drivers &amp; Assumptions'!C39*(1+'Drivers &amp; Assumptions'!C40)^INT((AO9-1)/12),0))</f>
        <v>8</v>
      </c>
      <c r="AP13" s="28">
        <f>IF(AP8=0,0,ROUND('Drivers &amp; Assumptions'!C39*(1+'Drivers &amp; Assumptions'!C40)^INT((AP9-1)/12),0))</f>
        <v>8</v>
      </c>
      <c r="AQ13" s="28">
        <f>IF(AQ8=0,0,ROUND('Drivers &amp; Assumptions'!C39*(1+'Drivers &amp; Assumptions'!C40)^INT((AQ9-1)/12),0))</f>
        <v>8</v>
      </c>
      <c r="AR13" s="28">
        <f>IF(AR8=0,0,ROUND('Drivers &amp; Assumptions'!C39*(1+'Drivers &amp; Assumptions'!C40)^INT((AR9-1)/12),0))</f>
        <v>8</v>
      </c>
      <c r="AS13" s="28">
        <f>IF(AS8=0,0,ROUND('Drivers &amp; Assumptions'!C39*(1+'Drivers &amp; Assumptions'!C40)^INT((AS9-1)/12),0))</f>
        <v>8</v>
      </c>
      <c r="AT13" s="28">
        <f>IF(AT8=0,0,ROUND('Drivers &amp; Assumptions'!C39*(1+'Drivers &amp; Assumptions'!C40)^INT((AT9-1)/12),0))</f>
        <v>8</v>
      </c>
      <c r="AU13" s="28">
        <f>IF(AU8=0,0,ROUND('Drivers &amp; Assumptions'!C39*(1+'Drivers &amp; Assumptions'!C40)^INT((AU9-1)/12),0))</f>
        <v>8</v>
      </c>
      <c r="AV13" s="28">
        <f>IF(AV8=0,0,ROUND('Drivers &amp; Assumptions'!C39*(1+'Drivers &amp; Assumptions'!C40)^INT((AV9-1)/12),0))</f>
        <v>8</v>
      </c>
      <c r="AW13" s="28">
        <f>IF(AW8=0,0,ROUND('Drivers &amp; Assumptions'!C39*(1+'Drivers &amp; Assumptions'!C40)^INT((AW9-1)/12),0))</f>
        <v>8</v>
      </c>
      <c r="AX13" s="28">
        <f>IF(AX8=0,0,ROUND('Drivers &amp; Assumptions'!C39*(1+'Drivers &amp; Assumptions'!C40)^INT((AX9-1)/12),0))</f>
        <v>9</v>
      </c>
      <c r="AY13" s="28">
        <f>IF(AY8=0,0,ROUND('Drivers &amp; Assumptions'!C39*(1+'Drivers &amp; Assumptions'!C40)^INT((AY9-1)/12),0))</f>
        <v>9</v>
      </c>
      <c r="AZ13" s="28">
        <f>IF(AZ8=0,0,ROUND('Drivers &amp; Assumptions'!C39*(1+'Drivers &amp; Assumptions'!C40)^INT((AZ9-1)/12),0))</f>
        <v>9</v>
      </c>
      <c r="BA13" s="28">
        <f>IF(BA8=0,0,ROUND('Drivers &amp; Assumptions'!C39*(1+'Drivers &amp; Assumptions'!C40)^INT((BA9-1)/12),0))</f>
        <v>9</v>
      </c>
      <c r="BB13" s="28">
        <f>IF(BB8=0,0,ROUND('Drivers &amp; Assumptions'!C39*(1+'Drivers &amp; Assumptions'!C40)^INT((BB9-1)/12),0))</f>
        <v>9</v>
      </c>
      <c r="BC13" s="28">
        <f>IF(BC8=0,0,ROUND('Drivers &amp; Assumptions'!C39*(1+'Drivers &amp; Assumptions'!C40)^INT((BC9-1)/12),0))</f>
        <v>9</v>
      </c>
      <c r="BD13" s="28">
        <f>IF(BD8=0,0,ROUND('Drivers &amp; Assumptions'!C39*(1+'Drivers &amp; Assumptions'!C40)^INT((BD9-1)/12),0))</f>
        <v>9</v>
      </c>
      <c r="BE13" s="28">
        <f>IF(BE8=0,0,ROUND('Drivers &amp; Assumptions'!C39*(1+'Drivers &amp; Assumptions'!C40)^INT((BE9-1)/12),0))</f>
        <v>9</v>
      </c>
      <c r="BF13" s="28">
        <f>IF(BF8=0,0,ROUND('Drivers &amp; Assumptions'!C39*(1+'Drivers &amp; Assumptions'!C40)^INT((BF9-1)/12),0))</f>
        <v>9</v>
      </c>
      <c r="BG13" s="28">
        <f>IF(BG8=0,0,ROUND('Drivers &amp; Assumptions'!C39*(1+'Drivers &amp; Assumptions'!C40)^INT((BG9-1)/12),0))</f>
        <v>9</v>
      </c>
      <c r="BH13" s="28">
        <f>IF(BH8=0,0,ROUND('Drivers &amp; Assumptions'!C39*(1+'Drivers &amp; Assumptions'!C40)^INT((BH9-1)/12),0))</f>
        <v>9</v>
      </c>
      <c r="BI13" s="28">
        <f>IF(BI8=0,0,ROUND('Drivers &amp; Assumptions'!C39*(1+'Drivers &amp; Assumptions'!C40)^INT((BI9-1)/12),0))</f>
        <v>9</v>
      </c>
    </row>
    <row r="14" spans="1:61" ht="15" customHeight="1" x14ac:dyDescent="0.35">
      <c r="A14" s="10" t="s">
        <v>266</v>
      </c>
      <c r="B14" s="29">
        <f t="shared" ref="B14:AG14" si="0">B12*B13</f>
        <v>0</v>
      </c>
      <c r="C14" s="29">
        <f t="shared" si="0"/>
        <v>0</v>
      </c>
      <c r="D14" s="29">
        <f t="shared" si="0"/>
        <v>0</v>
      </c>
      <c r="E14" s="29">
        <f t="shared" si="0"/>
        <v>0</v>
      </c>
      <c r="F14" s="29">
        <f t="shared" si="0"/>
        <v>0</v>
      </c>
      <c r="G14" s="29">
        <f t="shared" si="0"/>
        <v>0</v>
      </c>
      <c r="H14" s="29">
        <f t="shared" si="0"/>
        <v>0</v>
      </c>
      <c r="I14" s="29">
        <f t="shared" si="0"/>
        <v>0</v>
      </c>
      <c r="J14" s="29">
        <f t="shared" si="0"/>
        <v>0</v>
      </c>
      <c r="K14" s="29">
        <f t="shared" si="0"/>
        <v>0</v>
      </c>
      <c r="L14" s="29">
        <f t="shared" si="0"/>
        <v>0</v>
      </c>
      <c r="M14" s="29">
        <f t="shared" si="0"/>
        <v>0</v>
      </c>
      <c r="N14" s="29">
        <f t="shared" si="0"/>
        <v>0</v>
      </c>
      <c r="O14" s="29">
        <f t="shared" si="0"/>
        <v>0</v>
      </c>
      <c r="P14" s="29">
        <f t="shared" si="0"/>
        <v>0</v>
      </c>
      <c r="Q14" s="29">
        <f t="shared" si="0"/>
        <v>0</v>
      </c>
      <c r="R14" s="29">
        <f t="shared" si="0"/>
        <v>0</v>
      </c>
      <c r="S14" s="29">
        <f t="shared" si="0"/>
        <v>0</v>
      </c>
      <c r="T14" s="29">
        <f t="shared" si="0"/>
        <v>0</v>
      </c>
      <c r="U14" s="29">
        <f t="shared" si="0"/>
        <v>0</v>
      </c>
      <c r="V14" s="29">
        <f t="shared" si="0"/>
        <v>0</v>
      </c>
      <c r="W14" s="29">
        <f t="shared" si="0"/>
        <v>0</v>
      </c>
      <c r="X14" s="29">
        <f t="shared" si="0"/>
        <v>0</v>
      </c>
      <c r="Y14" s="29">
        <f t="shared" si="0"/>
        <v>0</v>
      </c>
      <c r="Z14" s="29">
        <f t="shared" si="0"/>
        <v>0</v>
      </c>
      <c r="AA14" s="29">
        <f t="shared" si="0"/>
        <v>0</v>
      </c>
      <c r="AB14" s="29">
        <f t="shared" si="0"/>
        <v>0</v>
      </c>
      <c r="AC14" s="29">
        <f t="shared" si="0"/>
        <v>0</v>
      </c>
      <c r="AD14" s="29">
        <f t="shared" si="0"/>
        <v>0</v>
      </c>
      <c r="AE14" s="29">
        <f t="shared" si="0"/>
        <v>0</v>
      </c>
      <c r="AF14" s="29">
        <f t="shared" si="0"/>
        <v>0</v>
      </c>
      <c r="AG14" s="29">
        <f t="shared" si="0"/>
        <v>0</v>
      </c>
      <c r="AH14" s="29">
        <f t="shared" ref="AH14:BI14" si="1">AH12*AH13</f>
        <v>0</v>
      </c>
      <c r="AI14" s="29">
        <f t="shared" si="1"/>
        <v>0</v>
      </c>
      <c r="AJ14" s="29">
        <f t="shared" si="1"/>
        <v>0</v>
      </c>
      <c r="AK14" s="29">
        <f t="shared" si="1"/>
        <v>0</v>
      </c>
      <c r="AL14" s="29">
        <f t="shared" si="1"/>
        <v>160</v>
      </c>
      <c r="AM14" s="29">
        <f t="shared" si="1"/>
        <v>200</v>
      </c>
      <c r="AN14" s="29">
        <f t="shared" si="1"/>
        <v>240</v>
      </c>
      <c r="AO14" s="29">
        <f t="shared" si="1"/>
        <v>280</v>
      </c>
      <c r="AP14" s="29">
        <f t="shared" si="1"/>
        <v>320</v>
      </c>
      <c r="AQ14" s="29">
        <f t="shared" si="1"/>
        <v>360</v>
      </c>
      <c r="AR14" s="29">
        <f t="shared" si="1"/>
        <v>400</v>
      </c>
      <c r="AS14" s="29">
        <f t="shared" si="1"/>
        <v>440</v>
      </c>
      <c r="AT14" s="29">
        <f t="shared" si="1"/>
        <v>480</v>
      </c>
      <c r="AU14" s="29">
        <f t="shared" si="1"/>
        <v>520</v>
      </c>
      <c r="AV14" s="29">
        <f t="shared" si="1"/>
        <v>560</v>
      </c>
      <c r="AW14" s="29">
        <f t="shared" si="1"/>
        <v>600</v>
      </c>
      <c r="AX14" s="29">
        <f t="shared" si="1"/>
        <v>720</v>
      </c>
      <c r="AY14" s="29">
        <f t="shared" si="1"/>
        <v>765</v>
      </c>
      <c r="AZ14" s="29">
        <f t="shared" si="1"/>
        <v>810</v>
      </c>
      <c r="BA14" s="29">
        <f t="shared" si="1"/>
        <v>855</v>
      </c>
      <c r="BB14" s="29">
        <f t="shared" si="1"/>
        <v>900</v>
      </c>
      <c r="BC14" s="29">
        <f t="shared" si="1"/>
        <v>945</v>
      </c>
      <c r="BD14" s="29">
        <f t="shared" si="1"/>
        <v>990</v>
      </c>
      <c r="BE14" s="29">
        <f t="shared" si="1"/>
        <v>1035</v>
      </c>
      <c r="BF14" s="29">
        <f t="shared" si="1"/>
        <v>1080</v>
      </c>
      <c r="BG14" s="29">
        <f t="shared" si="1"/>
        <v>1125</v>
      </c>
      <c r="BH14" s="29">
        <f t="shared" si="1"/>
        <v>1170</v>
      </c>
      <c r="BI14" s="29">
        <f t="shared" si="1"/>
        <v>1215</v>
      </c>
    </row>
    <row r="15" spans="1:61" ht="15" customHeight="1" x14ac:dyDescent="0.35">
      <c r="A15" s="7" t="s">
        <v>267</v>
      </c>
      <c r="B15" s="28">
        <f>ROUNDUP(B14/'Drivers &amp; Assumptions'!C20,0)</f>
        <v>0</v>
      </c>
      <c r="C15" s="28">
        <f>ROUNDUP(C14/'Drivers &amp; Assumptions'!C20,0)</f>
        <v>0</v>
      </c>
      <c r="D15" s="28">
        <f>ROUNDUP(D14/'Drivers &amp; Assumptions'!C20,0)</f>
        <v>0</v>
      </c>
      <c r="E15" s="28">
        <f>ROUNDUP(E14/'Drivers &amp; Assumptions'!C20,0)</f>
        <v>0</v>
      </c>
      <c r="F15" s="28">
        <f>ROUNDUP(F14/'Drivers &amp; Assumptions'!C20,0)</f>
        <v>0</v>
      </c>
      <c r="G15" s="28">
        <f>ROUNDUP(G14/'Drivers &amp; Assumptions'!C20,0)</f>
        <v>0</v>
      </c>
      <c r="H15" s="28">
        <f>ROUNDUP(H14/'Drivers &amp; Assumptions'!C20,0)</f>
        <v>0</v>
      </c>
      <c r="I15" s="28">
        <f>ROUNDUP(I14/'Drivers &amp; Assumptions'!C20,0)</f>
        <v>0</v>
      </c>
      <c r="J15" s="28">
        <f>ROUNDUP(J14/'Drivers &amp; Assumptions'!C20,0)</f>
        <v>0</v>
      </c>
      <c r="K15" s="28">
        <f>ROUNDUP(K14/'Drivers &amp; Assumptions'!C20,0)</f>
        <v>0</v>
      </c>
      <c r="L15" s="28">
        <f>ROUNDUP(L14/'Drivers &amp; Assumptions'!C20,0)</f>
        <v>0</v>
      </c>
      <c r="M15" s="28">
        <f>ROUNDUP(M14/'Drivers &amp; Assumptions'!C20,0)</f>
        <v>0</v>
      </c>
      <c r="N15" s="28">
        <f>ROUNDUP(N14/'Drivers &amp; Assumptions'!C20,0)</f>
        <v>0</v>
      </c>
      <c r="O15" s="28">
        <f>ROUNDUP(O14/'Drivers &amp; Assumptions'!C20,0)</f>
        <v>0</v>
      </c>
      <c r="P15" s="28">
        <f>ROUNDUP(P14/'Drivers &amp; Assumptions'!C20,0)</f>
        <v>0</v>
      </c>
      <c r="Q15" s="28">
        <f>ROUNDUP(Q14/'Drivers &amp; Assumptions'!C20,0)</f>
        <v>0</v>
      </c>
      <c r="R15" s="28">
        <f>ROUNDUP(R14/'Drivers &amp; Assumptions'!C20,0)</f>
        <v>0</v>
      </c>
      <c r="S15" s="28">
        <f>ROUNDUP(S14/'Drivers &amp; Assumptions'!C20,0)</f>
        <v>0</v>
      </c>
      <c r="T15" s="28">
        <f>ROUNDUP(T14/'Drivers &amp; Assumptions'!C20,0)</f>
        <v>0</v>
      </c>
      <c r="U15" s="28">
        <f>ROUNDUP(U14/'Drivers &amp; Assumptions'!C20,0)</f>
        <v>0</v>
      </c>
      <c r="V15" s="28">
        <f>ROUNDUP(V14/'Drivers &amp; Assumptions'!C20,0)</f>
        <v>0</v>
      </c>
      <c r="W15" s="28">
        <f>ROUNDUP(W14/'Drivers &amp; Assumptions'!C20,0)</f>
        <v>0</v>
      </c>
      <c r="X15" s="28">
        <f>ROUNDUP(X14/'Drivers &amp; Assumptions'!C20,0)</f>
        <v>0</v>
      </c>
      <c r="Y15" s="28">
        <f>ROUNDUP(Y14/'Drivers &amp; Assumptions'!C20,0)</f>
        <v>0</v>
      </c>
      <c r="Z15" s="28">
        <f>ROUNDUP(Z14/'Drivers &amp; Assumptions'!C20,0)</f>
        <v>0</v>
      </c>
      <c r="AA15" s="28">
        <f>ROUNDUP(AA14/'Drivers &amp; Assumptions'!C20,0)</f>
        <v>0</v>
      </c>
      <c r="AB15" s="28">
        <f>ROUNDUP(AB14/'Drivers &amp; Assumptions'!C20,0)</f>
        <v>0</v>
      </c>
      <c r="AC15" s="28">
        <f>ROUNDUP(AC14/'Drivers &amp; Assumptions'!C20,0)</f>
        <v>0</v>
      </c>
      <c r="AD15" s="28">
        <f>ROUNDUP(AD14/'Drivers &amp; Assumptions'!C20,0)</f>
        <v>0</v>
      </c>
      <c r="AE15" s="28">
        <f>ROUNDUP(AE14/'Drivers &amp; Assumptions'!C20,0)</f>
        <v>0</v>
      </c>
      <c r="AF15" s="28">
        <f>ROUNDUP(AF14/'Drivers &amp; Assumptions'!C20,0)</f>
        <v>0</v>
      </c>
      <c r="AG15" s="28">
        <f>ROUNDUP(AG14/'Drivers &amp; Assumptions'!C20,0)</f>
        <v>0</v>
      </c>
      <c r="AH15" s="28">
        <f>ROUNDUP(AH14/'Drivers &amp; Assumptions'!C20,0)</f>
        <v>0</v>
      </c>
      <c r="AI15" s="28">
        <f>ROUNDUP(AI14/'Drivers &amp; Assumptions'!C20,0)</f>
        <v>0</v>
      </c>
      <c r="AJ15" s="28">
        <f>ROUNDUP(AJ14/'Drivers &amp; Assumptions'!C20,0)</f>
        <v>0</v>
      </c>
      <c r="AK15" s="28">
        <f>ROUNDUP(AK14/'Drivers &amp; Assumptions'!C20,0)</f>
        <v>0</v>
      </c>
      <c r="AL15" s="28">
        <f>ROUNDUP(AL14/'Drivers &amp; Assumptions'!C20,0)</f>
        <v>14</v>
      </c>
      <c r="AM15" s="28">
        <f>ROUNDUP(AM14/'Drivers &amp; Assumptions'!C20,0)</f>
        <v>17</v>
      </c>
      <c r="AN15" s="28">
        <f>ROUNDUP(AN14/'Drivers &amp; Assumptions'!C20,0)</f>
        <v>20</v>
      </c>
      <c r="AO15" s="28">
        <f>ROUNDUP(AO14/'Drivers &amp; Assumptions'!C20,0)</f>
        <v>24</v>
      </c>
      <c r="AP15" s="28">
        <f>ROUNDUP(AP14/'Drivers &amp; Assumptions'!C20,0)</f>
        <v>27</v>
      </c>
      <c r="AQ15" s="28">
        <f>ROUNDUP(AQ14/'Drivers &amp; Assumptions'!C20,0)</f>
        <v>30</v>
      </c>
      <c r="AR15" s="28">
        <f>ROUNDUP(AR14/'Drivers &amp; Assumptions'!C20,0)</f>
        <v>34</v>
      </c>
      <c r="AS15" s="28">
        <f>ROUNDUP(AS14/'Drivers &amp; Assumptions'!C20,0)</f>
        <v>37</v>
      </c>
      <c r="AT15" s="28">
        <f>ROUNDUP(AT14/'Drivers &amp; Assumptions'!C20,0)</f>
        <v>40</v>
      </c>
      <c r="AU15" s="28">
        <f>ROUNDUP(AU14/'Drivers &amp; Assumptions'!C20,0)</f>
        <v>44</v>
      </c>
      <c r="AV15" s="28">
        <f>ROUNDUP(AV14/'Drivers &amp; Assumptions'!C20,0)</f>
        <v>47</v>
      </c>
      <c r="AW15" s="28">
        <f>ROUNDUP(AW14/'Drivers &amp; Assumptions'!C20,0)</f>
        <v>50</v>
      </c>
      <c r="AX15" s="28">
        <f>ROUNDUP(AX14/'Drivers &amp; Assumptions'!C20,0)</f>
        <v>60</v>
      </c>
      <c r="AY15" s="28">
        <f>ROUNDUP(AY14/'Drivers &amp; Assumptions'!C20,0)</f>
        <v>64</v>
      </c>
      <c r="AZ15" s="28">
        <f>ROUNDUP(AZ14/'Drivers &amp; Assumptions'!C20,0)</f>
        <v>68</v>
      </c>
      <c r="BA15" s="28">
        <f>ROUNDUP(BA14/'Drivers &amp; Assumptions'!C20,0)</f>
        <v>72</v>
      </c>
      <c r="BB15" s="28">
        <f>ROUNDUP(BB14/'Drivers &amp; Assumptions'!C20,0)</f>
        <v>75</v>
      </c>
      <c r="BC15" s="28">
        <f>ROUNDUP(BC14/'Drivers &amp; Assumptions'!C20,0)</f>
        <v>79</v>
      </c>
      <c r="BD15" s="28">
        <f>ROUNDUP(BD14/'Drivers &amp; Assumptions'!C20,0)</f>
        <v>83</v>
      </c>
      <c r="BE15" s="28">
        <f>ROUNDUP(BE14/'Drivers &amp; Assumptions'!C20,0)</f>
        <v>87</v>
      </c>
      <c r="BF15" s="28">
        <f>ROUNDUP(BF14/'Drivers &amp; Assumptions'!C20,0)</f>
        <v>90</v>
      </c>
      <c r="BG15" s="28">
        <f>ROUNDUP(BG14/'Drivers &amp; Assumptions'!C20,0)</f>
        <v>94</v>
      </c>
      <c r="BH15" s="28">
        <f>ROUNDUP(BH14/'Drivers &amp; Assumptions'!C20,0)</f>
        <v>98</v>
      </c>
      <c r="BI15" s="28">
        <f>ROUNDUP(BI14/'Drivers &amp; Assumptions'!C20,0)</f>
        <v>102</v>
      </c>
    </row>
    <row r="17" spans="1:61" ht="15" customHeight="1" x14ac:dyDescent="0.35">
      <c r="A17" s="5" t="s">
        <v>268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</row>
    <row r="18" spans="1:61" ht="15" customHeight="1" x14ac:dyDescent="0.35">
      <c r="A18" s="10" t="s">
        <v>269</v>
      </c>
      <c r="B18" s="14">
        <f>B14*'Drivers &amp; Assumptions'!C32</f>
        <v>0</v>
      </c>
      <c r="C18" s="14">
        <f>C14*'Drivers &amp; Assumptions'!C32</f>
        <v>0</v>
      </c>
      <c r="D18" s="14">
        <f>D14*'Drivers &amp; Assumptions'!C32</f>
        <v>0</v>
      </c>
      <c r="E18" s="14">
        <f>E14*'Drivers &amp; Assumptions'!C32</f>
        <v>0</v>
      </c>
      <c r="F18" s="14">
        <f>F14*'Drivers &amp; Assumptions'!C32</f>
        <v>0</v>
      </c>
      <c r="G18" s="14">
        <f>G14*'Drivers &amp; Assumptions'!C32</f>
        <v>0</v>
      </c>
      <c r="H18" s="14">
        <f>H14*'Drivers &amp; Assumptions'!C32</f>
        <v>0</v>
      </c>
      <c r="I18" s="14">
        <f>I14*'Drivers &amp; Assumptions'!C32</f>
        <v>0</v>
      </c>
      <c r="J18" s="14">
        <f>J14*'Drivers &amp; Assumptions'!C32</f>
        <v>0</v>
      </c>
      <c r="K18" s="14">
        <f>K14*'Drivers &amp; Assumptions'!C32</f>
        <v>0</v>
      </c>
      <c r="L18" s="14">
        <f>L14*'Drivers &amp; Assumptions'!C32</f>
        <v>0</v>
      </c>
      <c r="M18" s="14">
        <f>M14*'Drivers &amp; Assumptions'!C32</f>
        <v>0</v>
      </c>
      <c r="N18" s="14">
        <f>N14*'Drivers &amp; Assumptions'!C32</f>
        <v>0</v>
      </c>
      <c r="O18" s="14">
        <f>O14*'Drivers &amp; Assumptions'!C32</f>
        <v>0</v>
      </c>
      <c r="P18" s="14">
        <f>P14*'Drivers &amp; Assumptions'!C32</f>
        <v>0</v>
      </c>
      <c r="Q18" s="14">
        <f>Q14*'Drivers &amp; Assumptions'!C32</f>
        <v>0</v>
      </c>
      <c r="R18" s="14">
        <f>R14*'Drivers &amp; Assumptions'!C32</f>
        <v>0</v>
      </c>
      <c r="S18" s="14">
        <f>S14*'Drivers &amp; Assumptions'!C32</f>
        <v>0</v>
      </c>
      <c r="T18" s="14">
        <f>T14*'Drivers &amp; Assumptions'!C32</f>
        <v>0</v>
      </c>
      <c r="U18" s="14">
        <f>U14*'Drivers &amp; Assumptions'!C32</f>
        <v>0</v>
      </c>
      <c r="V18" s="14">
        <f>V14*'Drivers &amp; Assumptions'!C32</f>
        <v>0</v>
      </c>
      <c r="W18" s="14">
        <f>W14*'Drivers &amp; Assumptions'!C32</f>
        <v>0</v>
      </c>
      <c r="X18" s="14">
        <f>X14*'Drivers &amp; Assumptions'!C32</f>
        <v>0</v>
      </c>
      <c r="Y18" s="14">
        <f>Y14*'Drivers &amp; Assumptions'!C32</f>
        <v>0</v>
      </c>
      <c r="Z18" s="14">
        <f>Z14*'Drivers &amp; Assumptions'!C32</f>
        <v>0</v>
      </c>
      <c r="AA18" s="14">
        <f>AA14*'Drivers &amp; Assumptions'!C32</f>
        <v>0</v>
      </c>
      <c r="AB18" s="14">
        <f>AB14*'Drivers &amp; Assumptions'!C32</f>
        <v>0</v>
      </c>
      <c r="AC18" s="14">
        <f>AC14*'Drivers &amp; Assumptions'!C32</f>
        <v>0</v>
      </c>
      <c r="AD18" s="14">
        <f>AD14*'Drivers &amp; Assumptions'!C32</f>
        <v>0</v>
      </c>
      <c r="AE18" s="14">
        <f>AE14*'Drivers &amp; Assumptions'!C32</f>
        <v>0</v>
      </c>
      <c r="AF18" s="14">
        <f>AF14*'Drivers &amp; Assumptions'!C32</f>
        <v>0</v>
      </c>
      <c r="AG18" s="14">
        <f>AG14*'Drivers &amp; Assumptions'!C32</f>
        <v>0</v>
      </c>
      <c r="AH18" s="14">
        <f>AH14*'Drivers &amp; Assumptions'!C32</f>
        <v>0</v>
      </c>
      <c r="AI18" s="14">
        <f>AI14*'Drivers &amp; Assumptions'!C32</f>
        <v>0</v>
      </c>
      <c r="AJ18" s="14">
        <f>AJ14*'Drivers &amp; Assumptions'!C32</f>
        <v>0</v>
      </c>
      <c r="AK18" s="14">
        <f>AK14*'Drivers &amp; Assumptions'!C32</f>
        <v>0</v>
      </c>
      <c r="AL18" s="14">
        <f>AL14*'Drivers &amp; Assumptions'!C32</f>
        <v>6048</v>
      </c>
      <c r="AM18" s="14">
        <f>AM14*'Drivers &amp; Assumptions'!C32</f>
        <v>7559.9999999999991</v>
      </c>
      <c r="AN18" s="14">
        <f>AN14*'Drivers &amp; Assumptions'!C32</f>
        <v>9072</v>
      </c>
      <c r="AO18" s="14">
        <f>AO14*'Drivers &amp; Assumptions'!C32</f>
        <v>10584</v>
      </c>
      <c r="AP18" s="14">
        <f>AP14*'Drivers &amp; Assumptions'!C32</f>
        <v>12096</v>
      </c>
      <c r="AQ18" s="14">
        <f>AQ14*'Drivers &amp; Assumptions'!C32</f>
        <v>13607.999999999998</v>
      </c>
      <c r="AR18" s="14">
        <f>AR14*'Drivers &amp; Assumptions'!C32</f>
        <v>15119.999999999998</v>
      </c>
      <c r="AS18" s="14">
        <f>AS14*'Drivers &amp; Assumptions'!C32</f>
        <v>16632</v>
      </c>
      <c r="AT18" s="14">
        <f>AT14*'Drivers &amp; Assumptions'!C32</f>
        <v>18144</v>
      </c>
      <c r="AU18" s="14">
        <f>AU14*'Drivers &amp; Assumptions'!C32</f>
        <v>19656</v>
      </c>
      <c r="AV18" s="14">
        <f>AV14*'Drivers &amp; Assumptions'!C32</f>
        <v>21168</v>
      </c>
      <c r="AW18" s="14">
        <f>AW14*'Drivers &amp; Assumptions'!C32</f>
        <v>22680</v>
      </c>
      <c r="AX18" s="14">
        <f>AX14*'Drivers &amp; Assumptions'!C32</f>
        <v>27215.999999999996</v>
      </c>
      <c r="AY18" s="14">
        <f>AY14*'Drivers &amp; Assumptions'!C32</f>
        <v>28916.999999999996</v>
      </c>
      <c r="AZ18" s="14">
        <f>AZ14*'Drivers &amp; Assumptions'!C32</f>
        <v>30617.999999999996</v>
      </c>
      <c r="BA18" s="14">
        <f>BA14*'Drivers &amp; Assumptions'!C32</f>
        <v>32318.999999999996</v>
      </c>
      <c r="BB18" s="14">
        <f>BB14*'Drivers &amp; Assumptions'!C32</f>
        <v>34020</v>
      </c>
      <c r="BC18" s="14">
        <f>BC14*'Drivers &amp; Assumptions'!C32</f>
        <v>35721</v>
      </c>
      <c r="BD18" s="14">
        <f>BD14*'Drivers &amp; Assumptions'!C32</f>
        <v>37422</v>
      </c>
      <c r="BE18" s="14">
        <f>BE14*'Drivers &amp; Assumptions'!C32</f>
        <v>39123</v>
      </c>
      <c r="BF18" s="14">
        <f>BF14*'Drivers &amp; Assumptions'!C32</f>
        <v>40824</v>
      </c>
      <c r="BG18" s="14">
        <f>BG14*'Drivers &amp; Assumptions'!C32</f>
        <v>42525</v>
      </c>
      <c r="BH18" s="14">
        <f>BH14*'Drivers &amp; Assumptions'!C32</f>
        <v>44226</v>
      </c>
      <c r="BI18" s="14">
        <f>BI14*'Drivers &amp; Assumptions'!C32</f>
        <v>45927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F0"/>
  </sheetPr>
  <dimension ref="A1:BI34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ColWidth="8.6328125" defaultRowHeight="14.5" x14ac:dyDescent="0.35"/>
  <cols>
    <col min="1" max="1" width="42" customWidth="1"/>
    <col min="2" max="61" width="14" customWidth="1"/>
  </cols>
  <sheetData>
    <row r="1" spans="1:61" ht="17.25" customHeight="1" x14ac:dyDescent="0.4">
      <c r="A1" s="1" t="s">
        <v>270</v>
      </c>
    </row>
    <row r="2" spans="1:61" ht="15" customHeight="1" x14ac:dyDescent="0.35">
      <c r="A2" s="2" t="s">
        <v>271</v>
      </c>
    </row>
    <row r="4" spans="1:61" ht="15" customHeight="1" x14ac:dyDescent="0.35">
      <c r="A4" s="19"/>
      <c r="B4" s="25" t="s">
        <v>147</v>
      </c>
      <c r="C4" s="25" t="s">
        <v>148</v>
      </c>
      <c r="D4" s="25" t="s">
        <v>149</v>
      </c>
      <c r="E4" s="25" t="s">
        <v>150</v>
      </c>
      <c r="F4" s="25" t="s">
        <v>151</v>
      </c>
      <c r="G4" s="25" t="s">
        <v>152</v>
      </c>
      <c r="H4" s="25" t="s">
        <v>153</v>
      </c>
      <c r="I4" s="25" t="s">
        <v>154</v>
      </c>
      <c r="J4" s="19" t="s">
        <v>155</v>
      </c>
      <c r="K4" s="19" t="s">
        <v>156</v>
      </c>
      <c r="L4" s="19" t="s">
        <v>157</v>
      </c>
      <c r="M4" s="19" t="s">
        <v>158</v>
      </c>
      <c r="N4" s="19" t="s">
        <v>159</v>
      </c>
      <c r="O4" s="19" t="s">
        <v>160</v>
      </c>
      <c r="P4" s="19" t="s">
        <v>161</v>
      </c>
      <c r="Q4" s="19" t="s">
        <v>162</v>
      </c>
      <c r="R4" s="19" t="s">
        <v>163</v>
      </c>
      <c r="S4" s="19" t="s">
        <v>164</v>
      </c>
      <c r="T4" s="19" t="s">
        <v>165</v>
      </c>
      <c r="U4" s="19" t="s">
        <v>166</v>
      </c>
      <c r="V4" s="19" t="s">
        <v>167</v>
      </c>
      <c r="W4" s="19" t="s">
        <v>168</v>
      </c>
      <c r="X4" s="19" t="s">
        <v>169</v>
      </c>
      <c r="Y4" s="19" t="s">
        <v>170</v>
      </c>
      <c r="Z4" s="19" t="s">
        <v>171</v>
      </c>
      <c r="AA4" s="19" t="s">
        <v>172</v>
      </c>
      <c r="AB4" s="19" t="s">
        <v>173</v>
      </c>
      <c r="AC4" s="19" t="s">
        <v>174</v>
      </c>
      <c r="AD4" s="19" t="s">
        <v>175</v>
      </c>
      <c r="AE4" s="19" t="s">
        <v>176</v>
      </c>
      <c r="AF4" s="19" t="s">
        <v>177</v>
      </c>
      <c r="AG4" s="19" t="s">
        <v>178</v>
      </c>
      <c r="AH4" s="19" t="s">
        <v>179</v>
      </c>
      <c r="AI4" s="19" t="s">
        <v>180</v>
      </c>
      <c r="AJ4" s="19" t="s">
        <v>181</v>
      </c>
      <c r="AK4" s="19" t="s">
        <v>182</v>
      </c>
      <c r="AL4" s="19" t="s">
        <v>183</v>
      </c>
      <c r="AM4" s="19" t="s">
        <v>184</v>
      </c>
      <c r="AN4" s="19" t="s">
        <v>185</v>
      </c>
      <c r="AO4" s="19" t="s">
        <v>186</v>
      </c>
      <c r="AP4" s="19" t="s">
        <v>187</v>
      </c>
      <c r="AQ4" s="19" t="s">
        <v>188</v>
      </c>
      <c r="AR4" s="19" t="s">
        <v>189</v>
      </c>
      <c r="AS4" s="19" t="s">
        <v>190</v>
      </c>
      <c r="AT4" s="19" t="s">
        <v>191</v>
      </c>
      <c r="AU4" s="19" t="s">
        <v>192</v>
      </c>
      <c r="AV4" s="19" t="s">
        <v>193</v>
      </c>
      <c r="AW4" s="19" t="s">
        <v>194</v>
      </c>
      <c r="AX4" s="19" t="s">
        <v>195</v>
      </c>
      <c r="AY4" s="19" t="s">
        <v>196</v>
      </c>
      <c r="AZ4" s="19" t="s">
        <v>197</v>
      </c>
      <c r="BA4" s="19" t="s">
        <v>198</v>
      </c>
      <c r="BB4" s="19" t="s">
        <v>199</v>
      </c>
      <c r="BC4" s="19" t="s">
        <v>200</v>
      </c>
      <c r="BD4" s="19" t="s">
        <v>201</v>
      </c>
      <c r="BE4" s="19" t="s">
        <v>202</v>
      </c>
      <c r="BF4" s="19" t="s">
        <v>203</v>
      </c>
      <c r="BG4" s="19" t="s">
        <v>204</v>
      </c>
      <c r="BH4" s="19" t="s">
        <v>205</v>
      </c>
      <c r="BI4" s="19" t="s">
        <v>206</v>
      </c>
    </row>
    <row r="6" spans="1:61" ht="15" customHeight="1" x14ac:dyDescent="0.35">
      <c r="A6" s="5" t="s">
        <v>8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</row>
    <row r="7" spans="1:61" ht="15" customHeight="1" x14ac:dyDescent="0.35">
      <c r="A7" s="7" t="s">
        <v>9</v>
      </c>
      <c r="B7" s="8">
        <f>'DTC Revenue'!B30</f>
        <v>37954</v>
      </c>
      <c r="C7" s="8">
        <f>'DTC Revenue'!C30</f>
        <v>61361</v>
      </c>
      <c r="D7" s="8">
        <f>'DTC Revenue'!D30</f>
        <v>108804</v>
      </c>
      <c r="E7" s="8">
        <f>'DTC Revenue'!E30</f>
        <v>57522</v>
      </c>
      <c r="F7" s="8">
        <f>'DTC Revenue'!F30</f>
        <v>71229</v>
      </c>
      <c r="G7" s="8">
        <f>'DTC Revenue'!G30</f>
        <v>61780</v>
      </c>
      <c r="H7" s="8">
        <f>'DTC Revenue'!H30</f>
        <v>62159</v>
      </c>
      <c r="I7" s="8">
        <f>'DTC Revenue'!I30</f>
        <v>181457</v>
      </c>
      <c r="J7" s="8">
        <f>'DTC Revenue'!J30</f>
        <v>50000</v>
      </c>
      <c r="K7" s="8">
        <f>'DTC Revenue'!K30</f>
        <v>43722</v>
      </c>
      <c r="L7" s="8">
        <f>'DTC Revenue'!L30</f>
        <v>90972</v>
      </c>
      <c r="M7" s="8">
        <f>'DTC Revenue'!M30</f>
        <v>118314</v>
      </c>
      <c r="N7" s="8">
        <f>'DTC Revenue'!N30</f>
        <v>144900</v>
      </c>
      <c r="O7" s="8">
        <f>'DTC Revenue'!O30</f>
        <v>171108</v>
      </c>
      <c r="P7" s="8">
        <f>'DTC Revenue'!P30</f>
        <v>196686</v>
      </c>
      <c r="Q7" s="8">
        <f>'DTC Revenue'!Q30</f>
        <v>222138</v>
      </c>
      <c r="R7" s="8">
        <f>'DTC Revenue'!R30</f>
        <v>247464</v>
      </c>
      <c r="S7" s="8">
        <f>'DTC Revenue'!S30</f>
        <v>272790</v>
      </c>
      <c r="T7" s="8">
        <f>'DTC Revenue'!T30</f>
        <v>298494</v>
      </c>
      <c r="U7" s="8">
        <f>'DTC Revenue'!U30</f>
        <v>324072</v>
      </c>
      <c r="V7" s="8">
        <f>'DTC Revenue'!V30</f>
        <v>350280</v>
      </c>
      <c r="W7" s="8">
        <f>'DTC Revenue'!W30</f>
        <v>376866</v>
      </c>
      <c r="X7" s="8">
        <f>'DTC Revenue'!X30</f>
        <v>404082</v>
      </c>
      <c r="Y7" s="8">
        <f>'DTC Revenue'!Y30</f>
        <v>432054</v>
      </c>
      <c r="Z7" s="8">
        <f>'DTC Revenue'!Z30</f>
        <v>460656</v>
      </c>
      <c r="AA7" s="8">
        <f>'DTC Revenue'!AA30</f>
        <v>490140</v>
      </c>
      <c r="AB7" s="8">
        <f>'DTC Revenue'!AB30</f>
        <v>520758</v>
      </c>
      <c r="AC7" s="8">
        <f>'DTC Revenue'!AC30</f>
        <v>552384</v>
      </c>
      <c r="AD7" s="8">
        <f>'DTC Revenue'!AD30</f>
        <v>585270</v>
      </c>
      <c r="AE7" s="8">
        <f>'DTC Revenue'!AE30</f>
        <v>619542</v>
      </c>
      <c r="AF7" s="8">
        <f>'DTC Revenue'!AF30</f>
        <v>655074</v>
      </c>
      <c r="AG7" s="8">
        <f>'DTC Revenue'!AG30</f>
        <v>692244</v>
      </c>
      <c r="AH7" s="8">
        <f>'DTC Revenue'!AH30</f>
        <v>730926</v>
      </c>
      <c r="AI7" s="8">
        <f>'DTC Revenue'!AI30</f>
        <v>771372</v>
      </c>
      <c r="AJ7" s="8">
        <f>'DTC Revenue'!AJ30</f>
        <v>813456</v>
      </c>
      <c r="AK7" s="8">
        <f>'DTC Revenue'!AK30</f>
        <v>857556</v>
      </c>
      <c r="AL7" s="8">
        <f>'DTC Revenue'!AL30</f>
        <v>903672</v>
      </c>
      <c r="AM7" s="8">
        <f>'DTC Revenue'!AM30</f>
        <v>952056</v>
      </c>
      <c r="AN7" s="8">
        <f>'DTC Revenue'!AN30</f>
        <v>1002708</v>
      </c>
      <c r="AO7" s="8">
        <f>'DTC Revenue'!AO30</f>
        <v>1055628</v>
      </c>
      <c r="AP7" s="8">
        <f>'DTC Revenue'!AP30</f>
        <v>1111068</v>
      </c>
      <c r="AQ7" s="8">
        <f>'DTC Revenue'!AQ30</f>
        <v>1169280</v>
      </c>
      <c r="AR7" s="8">
        <f>'DTC Revenue'!AR30</f>
        <v>1230390</v>
      </c>
      <c r="AS7" s="8">
        <f>'DTC Revenue'!AS30</f>
        <v>1294398</v>
      </c>
      <c r="AT7" s="8">
        <f>'DTC Revenue'!AT30</f>
        <v>1361430</v>
      </c>
      <c r="AU7" s="8">
        <f>'DTC Revenue'!AU30</f>
        <v>1431864</v>
      </c>
      <c r="AV7" s="8">
        <f>'DTC Revenue'!AV30</f>
        <v>1505826</v>
      </c>
      <c r="AW7" s="8">
        <f>'DTC Revenue'!AW30</f>
        <v>1583190</v>
      </c>
      <c r="AX7" s="8">
        <f>'DTC Revenue'!AX30</f>
        <v>1664460</v>
      </c>
      <c r="AY7" s="8">
        <f>'DTC Revenue'!AY30</f>
        <v>1750014</v>
      </c>
      <c r="AZ7" s="8">
        <f>'DTC Revenue'!AZ30</f>
        <v>1839474</v>
      </c>
      <c r="BA7" s="8">
        <f>'DTC Revenue'!BA30</f>
        <v>1933596</v>
      </c>
      <c r="BB7" s="8">
        <f>'DTC Revenue'!BB30</f>
        <v>2032254</v>
      </c>
      <c r="BC7" s="8">
        <f>'DTC Revenue'!BC30</f>
        <v>2136078</v>
      </c>
      <c r="BD7" s="8">
        <f>'DTC Revenue'!BD30</f>
        <v>2244816</v>
      </c>
      <c r="BE7" s="8">
        <f>'DTC Revenue'!BE30</f>
        <v>2358972</v>
      </c>
      <c r="BF7" s="8">
        <f>'DTC Revenue'!BF30</f>
        <v>2478798</v>
      </c>
      <c r="BG7" s="8">
        <f>'DTC Revenue'!BG30</f>
        <v>2604672</v>
      </c>
      <c r="BH7" s="8">
        <f>'DTC Revenue'!BH30</f>
        <v>2736846</v>
      </c>
      <c r="BI7" s="8">
        <f>'DTC Revenue'!BI30</f>
        <v>2875572</v>
      </c>
    </row>
    <row r="8" spans="1:61" ht="15" customHeight="1" x14ac:dyDescent="0.35">
      <c r="A8" s="7" t="s">
        <v>10</v>
      </c>
      <c r="B8" s="8">
        <f>'Wholesale by Country'!B35</f>
        <v>9834</v>
      </c>
      <c r="C8" s="8">
        <f>'Wholesale by Country'!C35</f>
        <v>17446</v>
      </c>
      <c r="D8" s="8">
        <f>'Wholesale by Country'!D35</f>
        <v>1741</v>
      </c>
      <c r="E8" s="8">
        <f>'Wholesale by Country'!E35</f>
        <v>5071</v>
      </c>
      <c r="F8" s="8">
        <f>'Wholesale by Country'!F35</f>
        <v>8989</v>
      </c>
      <c r="G8" s="8">
        <f>'Wholesale by Country'!G35</f>
        <v>3713</v>
      </c>
      <c r="H8" s="8">
        <f>'Wholesale by Country'!H35</f>
        <v>1799</v>
      </c>
      <c r="I8" s="8">
        <f>'Wholesale by Country'!I35</f>
        <v>17894</v>
      </c>
      <c r="J8" s="8">
        <f>'Wholesale by Country'!J35</f>
        <v>45360</v>
      </c>
      <c r="K8" s="8">
        <f>'Wholesale by Country'!K35</f>
        <v>0</v>
      </c>
      <c r="L8" s="8">
        <f>'Wholesale by Country'!L35</f>
        <v>0</v>
      </c>
      <c r="M8" s="8">
        <f>'Wholesale by Country'!M35</f>
        <v>45360</v>
      </c>
      <c r="N8" s="8">
        <f>'Wholesale by Country'!N35</f>
        <v>0</v>
      </c>
      <c r="O8" s="8">
        <f>'Wholesale by Country'!O35</f>
        <v>0</v>
      </c>
      <c r="P8" s="8">
        <f>'Wholesale by Country'!P35</f>
        <v>54431.999999999993</v>
      </c>
      <c r="Q8" s="8">
        <f>'Wholesale by Country'!Q35</f>
        <v>0</v>
      </c>
      <c r="R8" s="8">
        <f>'Wholesale by Country'!R35</f>
        <v>0</v>
      </c>
      <c r="S8" s="8">
        <f>'Wholesale by Country'!S35</f>
        <v>54431.999999999993</v>
      </c>
      <c r="T8" s="8">
        <f>'Wholesale by Country'!T35</f>
        <v>0</v>
      </c>
      <c r="U8" s="8">
        <f>'Wholesale by Country'!U35</f>
        <v>0</v>
      </c>
      <c r="V8" s="8">
        <f>'Wholesale by Country'!V35</f>
        <v>54431.999999999993</v>
      </c>
      <c r="W8" s="8">
        <f>'Wholesale by Country'!W35</f>
        <v>0</v>
      </c>
      <c r="X8" s="8">
        <f>'Wholesale by Country'!X35</f>
        <v>0</v>
      </c>
      <c r="Y8" s="8">
        <f>'Wholesale by Country'!Y35</f>
        <v>54431.999999999993</v>
      </c>
      <c r="Z8" s="8">
        <f>'Wholesale by Country'!Z35</f>
        <v>0</v>
      </c>
      <c r="AA8" s="8">
        <f>'Wholesale by Country'!AA35</f>
        <v>0</v>
      </c>
      <c r="AB8" s="8">
        <f>'Wholesale by Country'!AB35</f>
        <v>72576</v>
      </c>
      <c r="AC8" s="8">
        <f>'Wholesale by Country'!AC35</f>
        <v>0</v>
      </c>
      <c r="AD8" s="8">
        <f>'Wholesale by Country'!AD35</f>
        <v>0</v>
      </c>
      <c r="AE8" s="8">
        <f>'Wholesale by Country'!AE35</f>
        <v>72576</v>
      </c>
      <c r="AF8" s="8">
        <f>'Wholesale by Country'!AF35</f>
        <v>0</v>
      </c>
      <c r="AG8" s="8">
        <f>'Wholesale by Country'!AG35</f>
        <v>0</v>
      </c>
      <c r="AH8" s="8">
        <f>'Wholesale by Country'!AH35</f>
        <v>72576</v>
      </c>
      <c r="AI8" s="8">
        <f>'Wholesale by Country'!AI35</f>
        <v>0</v>
      </c>
      <c r="AJ8" s="8">
        <f>'Wholesale by Country'!AJ35</f>
        <v>0</v>
      </c>
      <c r="AK8" s="8">
        <f>'Wholesale by Country'!AK35</f>
        <v>72576</v>
      </c>
      <c r="AL8" s="8">
        <f>'Wholesale by Country'!AL35</f>
        <v>0</v>
      </c>
      <c r="AM8" s="8">
        <f>'Wholesale by Country'!AM35</f>
        <v>0</v>
      </c>
      <c r="AN8" s="8">
        <f>'Wholesale by Country'!AN35</f>
        <v>90720</v>
      </c>
      <c r="AO8" s="8">
        <f>'Wholesale by Country'!AO35</f>
        <v>0</v>
      </c>
      <c r="AP8" s="8">
        <f>'Wholesale by Country'!AP35</f>
        <v>0</v>
      </c>
      <c r="AQ8" s="8">
        <f>'Wholesale by Country'!AQ35</f>
        <v>90720</v>
      </c>
      <c r="AR8" s="8">
        <f>'Wholesale by Country'!AR35</f>
        <v>0</v>
      </c>
      <c r="AS8" s="8">
        <f>'Wholesale by Country'!AS35</f>
        <v>0</v>
      </c>
      <c r="AT8" s="8">
        <f>'Wholesale by Country'!AT35</f>
        <v>90720</v>
      </c>
      <c r="AU8" s="8">
        <f>'Wholesale by Country'!AU35</f>
        <v>0</v>
      </c>
      <c r="AV8" s="8">
        <f>'Wholesale by Country'!AV35</f>
        <v>0</v>
      </c>
      <c r="AW8" s="8">
        <f>'Wholesale by Country'!AW35</f>
        <v>90720</v>
      </c>
      <c r="AX8" s="8">
        <f>'Wholesale by Country'!AX35</f>
        <v>0</v>
      </c>
      <c r="AY8" s="8">
        <f>'Wholesale by Country'!AY35</f>
        <v>0</v>
      </c>
      <c r="AZ8" s="8">
        <f>'Wholesale by Country'!AZ35</f>
        <v>108863.99999999999</v>
      </c>
      <c r="BA8" s="8">
        <f>'Wholesale by Country'!BA35</f>
        <v>0</v>
      </c>
      <c r="BB8" s="8">
        <f>'Wholesale by Country'!BB35</f>
        <v>0</v>
      </c>
      <c r="BC8" s="8">
        <f>'Wholesale by Country'!BC35</f>
        <v>108863.99999999999</v>
      </c>
      <c r="BD8" s="8">
        <f>'Wholesale by Country'!BD35</f>
        <v>0</v>
      </c>
      <c r="BE8" s="8">
        <f>'Wholesale by Country'!BE35</f>
        <v>0</v>
      </c>
      <c r="BF8" s="8">
        <f>'Wholesale by Country'!BF35</f>
        <v>108863.99999999999</v>
      </c>
      <c r="BG8" s="8">
        <f>'Wholesale by Country'!BG35</f>
        <v>0</v>
      </c>
      <c r="BH8" s="8">
        <f>'Wholesale by Country'!BH35</f>
        <v>0</v>
      </c>
      <c r="BI8" s="8">
        <f>'Wholesale by Country'!BI35</f>
        <v>108863.99999999999</v>
      </c>
    </row>
    <row r="9" spans="1:61" ht="15" customHeight="1" x14ac:dyDescent="0.35">
      <c r="A9" s="7" t="s">
        <v>11</v>
      </c>
      <c r="B9" s="8">
        <f>'Retail Revenue'!B18</f>
        <v>0</v>
      </c>
      <c r="C9" s="8">
        <f>'Retail Revenue'!C18</f>
        <v>0</v>
      </c>
      <c r="D9" s="8">
        <f>'Retail Revenue'!D18</f>
        <v>0</v>
      </c>
      <c r="E9" s="8">
        <f>'Retail Revenue'!E18</f>
        <v>0</v>
      </c>
      <c r="F9" s="8">
        <f>'Retail Revenue'!F18</f>
        <v>0</v>
      </c>
      <c r="G9" s="8">
        <f>'Retail Revenue'!G18</f>
        <v>0</v>
      </c>
      <c r="H9" s="8">
        <f>'Retail Revenue'!H18</f>
        <v>0</v>
      </c>
      <c r="I9" s="8">
        <f>'Retail Revenue'!I18</f>
        <v>0</v>
      </c>
      <c r="J9" s="8">
        <f>'Retail Revenue'!J18</f>
        <v>0</v>
      </c>
      <c r="K9" s="8">
        <f>'Retail Revenue'!K18</f>
        <v>0</v>
      </c>
      <c r="L9" s="8">
        <f>'Retail Revenue'!L18</f>
        <v>0</v>
      </c>
      <c r="M9" s="8">
        <f>'Retail Revenue'!M18</f>
        <v>0</v>
      </c>
      <c r="N9" s="8">
        <f>'Retail Revenue'!N18</f>
        <v>0</v>
      </c>
      <c r="O9" s="8">
        <f>'Retail Revenue'!O18</f>
        <v>0</v>
      </c>
      <c r="P9" s="8">
        <f>'Retail Revenue'!P18</f>
        <v>0</v>
      </c>
      <c r="Q9" s="8">
        <f>'Retail Revenue'!Q18</f>
        <v>0</v>
      </c>
      <c r="R9" s="8">
        <f>'Retail Revenue'!R18</f>
        <v>0</v>
      </c>
      <c r="S9" s="8">
        <f>'Retail Revenue'!S18</f>
        <v>0</v>
      </c>
      <c r="T9" s="8">
        <f>'Retail Revenue'!T18</f>
        <v>0</v>
      </c>
      <c r="U9" s="8">
        <f>'Retail Revenue'!U18</f>
        <v>0</v>
      </c>
      <c r="V9" s="8">
        <f>'Retail Revenue'!V18</f>
        <v>0</v>
      </c>
      <c r="W9" s="8">
        <f>'Retail Revenue'!W18</f>
        <v>0</v>
      </c>
      <c r="X9" s="8">
        <f>'Retail Revenue'!X18</f>
        <v>0</v>
      </c>
      <c r="Y9" s="8">
        <f>'Retail Revenue'!Y18</f>
        <v>0</v>
      </c>
      <c r="Z9" s="8">
        <f>'Retail Revenue'!Z18</f>
        <v>0</v>
      </c>
      <c r="AA9" s="8">
        <f>'Retail Revenue'!AA18</f>
        <v>0</v>
      </c>
      <c r="AB9" s="8">
        <f>'Retail Revenue'!AB18</f>
        <v>0</v>
      </c>
      <c r="AC9" s="8">
        <f>'Retail Revenue'!AC18</f>
        <v>0</v>
      </c>
      <c r="AD9" s="8">
        <f>'Retail Revenue'!AD18</f>
        <v>0</v>
      </c>
      <c r="AE9" s="8">
        <f>'Retail Revenue'!AE18</f>
        <v>0</v>
      </c>
      <c r="AF9" s="8">
        <f>'Retail Revenue'!AF18</f>
        <v>0</v>
      </c>
      <c r="AG9" s="8">
        <f>'Retail Revenue'!AG18</f>
        <v>0</v>
      </c>
      <c r="AH9" s="8">
        <f>'Retail Revenue'!AH18</f>
        <v>0</v>
      </c>
      <c r="AI9" s="8">
        <f>'Retail Revenue'!AI18</f>
        <v>0</v>
      </c>
      <c r="AJ9" s="8">
        <f>'Retail Revenue'!AJ18</f>
        <v>0</v>
      </c>
      <c r="AK9" s="8">
        <f>'Retail Revenue'!AK18</f>
        <v>0</v>
      </c>
      <c r="AL9" s="8">
        <f>'Retail Revenue'!AL18</f>
        <v>6048</v>
      </c>
      <c r="AM9" s="8">
        <f>'Retail Revenue'!AM18</f>
        <v>7559.9999999999991</v>
      </c>
      <c r="AN9" s="8">
        <f>'Retail Revenue'!AN18</f>
        <v>9072</v>
      </c>
      <c r="AO9" s="8">
        <f>'Retail Revenue'!AO18</f>
        <v>10584</v>
      </c>
      <c r="AP9" s="8">
        <f>'Retail Revenue'!AP18</f>
        <v>12096</v>
      </c>
      <c r="AQ9" s="8">
        <f>'Retail Revenue'!AQ18</f>
        <v>13607.999999999998</v>
      </c>
      <c r="AR9" s="8">
        <f>'Retail Revenue'!AR18</f>
        <v>15119.999999999998</v>
      </c>
      <c r="AS9" s="8">
        <f>'Retail Revenue'!AS18</f>
        <v>16632</v>
      </c>
      <c r="AT9" s="8">
        <f>'Retail Revenue'!AT18</f>
        <v>18144</v>
      </c>
      <c r="AU9" s="8">
        <f>'Retail Revenue'!AU18</f>
        <v>19656</v>
      </c>
      <c r="AV9" s="8">
        <f>'Retail Revenue'!AV18</f>
        <v>21168</v>
      </c>
      <c r="AW9" s="8">
        <f>'Retail Revenue'!AW18</f>
        <v>22680</v>
      </c>
      <c r="AX9" s="8">
        <f>'Retail Revenue'!AX18</f>
        <v>27215.999999999996</v>
      </c>
      <c r="AY9" s="8">
        <f>'Retail Revenue'!AY18</f>
        <v>28916.999999999996</v>
      </c>
      <c r="AZ9" s="8">
        <f>'Retail Revenue'!AZ18</f>
        <v>30617.999999999996</v>
      </c>
      <c r="BA9" s="8">
        <f>'Retail Revenue'!BA18</f>
        <v>32318.999999999996</v>
      </c>
      <c r="BB9" s="8">
        <f>'Retail Revenue'!BB18</f>
        <v>34020</v>
      </c>
      <c r="BC9" s="8">
        <f>'Retail Revenue'!BC18</f>
        <v>35721</v>
      </c>
      <c r="BD9" s="8">
        <f>'Retail Revenue'!BD18</f>
        <v>37422</v>
      </c>
      <c r="BE9" s="8">
        <f>'Retail Revenue'!BE18</f>
        <v>39123</v>
      </c>
      <c r="BF9" s="8">
        <f>'Retail Revenue'!BF18</f>
        <v>40824</v>
      </c>
      <c r="BG9" s="8">
        <f>'Retail Revenue'!BG18</f>
        <v>42525</v>
      </c>
      <c r="BH9" s="8">
        <f>'Retail Revenue'!BH18</f>
        <v>44226</v>
      </c>
      <c r="BI9" s="8">
        <f>'Retail Revenue'!BI18</f>
        <v>45927</v>
      </c>
    </row>
    <row r="10" spans="1:61" ht="15" customHeight="1" x14ac:dyDescent="0.35">
      <c r="A10" s="10" t="s">
        <v>272</v>
      </c>
      <c r="B10" s="14">
        <f t="shared" ref="B10:AG10" si="0">B7+B8+B9</f>
        <v>47788</v>
      </c>
      <c r="C10" s="14">
        <f t="shared" si="0"/>
        <v>78807</v>
      </c>
      <c r="D10" s="14">
        <f t="shared" si="0"/>
        <v>110545</v>
      </c>
      <c r="E10" s="14">
        <f t="shared" si="0"/>
        <v>62593</v>
      </c>
      <c r="F10" s="14">
        <f t="shared" si="0"/>
        <v>80218</v>
      </c>
      <c r="G10" s="14">
        <f t="shared" si="0"/>
        <v>65493</v>
      </c>
      <c r="H10" s="14">
        <f t="shared" si="0"/>
        <v>63958</v>
      </c>
      <c r="I10" s="14">
        <f t="shared" si="0"/>
        <v>199351</v>
      </c>
      <c r="J10" s="14">
        <f t="shared" si="0"/>
        <v>95360</v>
      </c>
      <c r="K10" s="14">
        <f t="shared" si="0"/>
        <v>43722</v>
      </c>
      <c r="L10" s="14">
        <f t="shared" si="0"/>
        <v>90972</v>
      </c>
      <c r="M10" s="14">
        <f t="shared" si="0"/>
        <v>163674</v>
      </c>
      <c r="N10" s="14">
        <f t="shared" si="0"/>
        <v>144900</v>
      </c>
      <c r="O10" s="14">
        <f t="shared" si="0"/>
        <v>171108</v>
      </c>
      <c r="P10" s="14">
        <f t="shared" si="0"/>
        <v>251118</v>
      </c>
      <c r="Q10" s="14">
        <f t="shared" si="0"/>
        <v>222138</v>
      </c>
      <c r="R10" s="14">
        <f t="shared" si="0"/>
        <v>247464</v>
      </c>
      <c r="S10" s="14">
        <f t="shared" si="0"/>
        <v>327222</v>
      </c>
      <c r="T10" s="14">
        <f t="shared" si="0"/>
        <v>298494</v>
      </c>
      <c r="U10" s="14">
        <f t="shared" si="0"/>
        <v>324072</v>
      </c>
      <c r="V10" s="14">
        <f t="shared" si="0"/>
        <v>404712</v>
      </c>
      <c r="W10" s="14">
        <f t="shared" si="0"/>
        <v>376866</v>
      </c>
      <c r="X10" s="14">
        <f t="shared" si="0"/>
        <v>404082</v>
      </c>
      <c r="Y10" s="14">
        <f t="shared" si="0"/>
        <v>486486</v>
      </c>
      <c r="Z10" s="14">
        <f t="shared" si="0"/>
        <v>460656</v>
      </c>
      <c r="AA10" s="14">
        <f t="shared" si="0"/>
        <v>490140</v>
      </c>
      <c r="AB10" s="14">
        <f t="shared" si="0"/>
        <v>593334</v>
      </c>
      <c r="AC10" s="14">
        <f t="shared" si="0"/>
        <v>552384</v>
      </c>
      <c r="AD10" s="14">
        <f t="shared" si="0"/>
        <v>585270</v>
      </c>
      <c r="AE10" s="14">
        <f t="shared" si="0"/>
        <v>692118</v>
      </c>
      <c r="AF10" s="14">
        <f t="shared" si="0"/>
        <v>655074</v>
      </c>
      <c r="AG10" s="14">
        <f t="shared" si="0"/>
        <v>692244</v>
      </c>
      <c r="AH10" s="14">
        <f t="shared" ref="AH10:BI10" si="1">AH7+AH8+AH9</f>
        <v>803502</v>
      </c>
      <c r="AI10" s="14">
        <f t="shared" si="1"/>
        <v>771372</v>
      </c>
      <c r="AJ10" s="14">
        <f t="shared" si="1"/>
        <v>813456</v>
      </c>
      <c r="AK10" s="14">
        <f t="shared" si="1"/>
        <v>930132</v>
      </c>
      <c r="AL10" s="14">
        <f t="shared" si="1"/>
        <v>909720</v>
      </c>
      <c r="AM10" s="14">
        <f t="shared" si="1"/>
        <v>959616</v>
      </c>
      <c r="AN10" s="14">
        <f t="shared" si="1"/>
        <v>1102500</v>
      </c>
      <c r="AO10" s="14">
        <f t="shared" si="1"/>
        <v>1066212</v>
      </c>
      <c r="AP10" s="14">
        <f t="shared" si="1"/>
        <v>1123164</v>
      </c>
      <c r="AQ10" s="14">
        <f t="shared" si="1"/>
        <v>1273608</v>
      </c>
      <c r="AR10" s="14">
        <f t="shared" si="1"/>
        <v>1245510</v>
      </c>
      <c r="AS10" s="14">
        <f t="shared" si="1"/>
        <v>1311030</v>
      </c>
      <c r="AT10" s="14">
        <f t="shared" si="1"/>
        <v>1470294</v>
      </c>
      <c r="AU10" s="14">
        <f t="shared" si="1"/>
        <v>1451520</v>
      </c>
      <c r="AV10" s="14">
        <f t="shared" si="1"/>
        <v>1526994</v>
      </c>
      <c r="AW10" s="14">
        <f t="shared" si="1"/>
        <v>1696590</v>
      </c>
      <c r="AX10" s="14">
        <f t="shared" si="1"/>
        <v>1691676</v>
      </c>
      <c r="AY10" s="14">
        <f t="shared" si="1"/>
        <v>1778931</v>
      </c>
      <c r="AZ10" s="14">
        <f t="shared" si="1"/>
        <v>1978956</v>
      </c>
      <c r="BA10" s="14">
        <f t="shared" si="1"/>
        <v>1965915</v>
      </c>
      <c r="BB10" s="14">
        <f t="shared" si="1"/>
        <v>2066274</v>
      </c>
      <c r="BC10" s="14">
        <f t="shared" si="1"/>
        <v>2280663</v>
      </c>
      <c r="BD10" s="14">
        <f t="shared" si="1"/>
        <v>2282238</v>
      </c>
      <c r="BE10" s="14">
        <f t="shared" si="1"/>
        <v>2398095</v>
      </c>
      <c r="BF10" s="14">
        <f t="shared" si="1"/>
        <v>2628486</v>
      </c>
      <c r="BG10" s="14">
        <f t="shared" si="1"/>
        <v>2647197</v>
      </c>
      <c r="BH10" s="14">
        <f t="shared" si="1"/>
        <v>2781072</v>
      </c>
      <c r="BI10" s="14">
        <f t="shared" si="1"/>
        <v>3030363</v>
      </c>
    </row>
    <row r="12" spans="1:61" ht="15" customHeight="1" x14ac:dyDescent="0.35">
      <c r="A12" s="5" t="s">
        <v>273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</row>
    <row r="13" spans="1:61" ht="15" customHeight="1" x14ac:dyDescent="0.35">
      <c r="A13" s="16" t="s">
        <v>274</v>
      </c>
      <c r="B13" s="15">
        <f t="shared" ref="B13:AG13" si="2">IF(B10=0,0,B7/B10)</f>
        <v>0.79421612120197538</v>
      </c>
      <c r="C13" s="15">
        <f t="shared" si="2"/>
        <v>0.778623726318728</v>
      </c>
      <c r="D13" s="15">
        <f t="shared" si="2"/>
        <v>0.98425075761002312</v>
      </c>
      <c r="E13" s="15">
        <f t="shared" si="2"/>
        <v>0.9189845509881297</v>
      </c>
      <c r="F13" s="15">
        <f t="shared" si="2"/>
        <v>0.887942855718168</v>
      </c>
      <c r="G13" s="15">
        <f t="shared" si="2"/>
        <v>0.94330691829661184</v>
      </c>
      <c r="H13" s="15">
        <f t="shared" si="2"/>
        <v>0.97187216610900906</v>
      </c>
      <c r="I13" s="15">
        <f t="shared" si="2"/>
        <v>0.91023872466152667</v>
      </c>
      <c r="J13" s="15">
        <f t="shared" si="2"/>
        <v>0.52432885906040272</v>
      </c>
      <c r="K13" s="15">
        <f t="shared" si="2"/>
        <v>1</v>
      </c>
      <c r="L13" s="15">
        <f t="shared" si="2"/>
        <v>1</v>
      </c>
      <c r="M13" s="15">
        <f t="shared" si="2"/>
        <v>0.72286374133949194</v>
      </c>
      <c r="N13" s="15">
        <f t="shared" si="2"/>
        <v>1</v>
      </c>
      <c r="O13" s="15">
        <f t="shared" si="2"/>
        <v>1</v>
      </c>
      <c r="P13" s="15">
        <f t="shared" si="2"/>
        <v>0.78324134470647266</v>
      </c>
      <c r="Q13" s="15">
        <f t="shared" si="2"/>
        <v>1</v>
      </c>
      <c r="R13" s="15">
        <f t="shared" si="2"/>
        <v>1</v>
      </c>
      <c r="S13" s="15">
        <f t="shared" si="2"/>
        <v>0.83365421640354254</v>
      </c>
      <c r="T13" s="15">
        <f t="shared" si="2"/>
        <v>1</v>
      </c>
      <c r="U13" s="15">
        <f t="shared" si="2"/>
        <v>1</v>
      </c>
      <c r="V13" s="15">
        <f t="shared" si="2"/>
        <v>0.8655043586550436</v>
      </c>
      <c r="W13" s="15">
        <f t="shared" si="2"/>
        <v>1</v>
      </c>
      <c r="X13" s="15">
        <f t="shared" si="2"/>
        <v>1</v>
      </c>
      <c r="Y13" s="15">
        <f t="shared" si="2"/>
        <v>0.88811188811188813</v>
      </c>
      <c r="Z13" s="15">
        <f t="shared" si="2"/>
        <v>1</v>
      </c>
      <c r="AA13" s="15">
        <f t="shared" si="2"/>
        <v>1</v>
      </c>
      <c r="AB13" s="15">
        <f t="shared" si="2"/>
        <v>0.8776810363134423</v>
      </c>
      <c r="AC13" s="15">
        <f t="shared" si="2"/>
        <v>1</v>
      </c>
      <c r="AD13" s="15">
        <f t="shared" si="2"/>
        <v>1</v>
      </c>
      <c r="AE13" s="15">
        <f t="shared" si="2"/>
        <v>0.89513926815947564</v>
      </c>
      <c r="AF13" s="15">
        <f t="shared" si="2"/>
        <v>1</v>
      </c>
      <c r="AG13" s="15">
        <f t="shared" si="2"/>
        <v>1</v>
      </c>
      <c r="AH13" s="15">
        <f t="shared" ref="AH13:BI13" si="3">IF(AH10=0,0,AH7/AH10)</f>
        <v>0.90967539595421043</v>
      </c>
      <c r="AI13" s="15">
        <f t="shared" si="3"/>
        <v>1</v>
      </c>
      <c r="AJ13" s="15">
        <f t="shared" si="3"/>
        <v>1</v>
      </c>
      <c r="AK13" s="15">
        <f t="shared" si="3"/>
        <v>0.92197236521267945</v>
      </c>
      <c r="AL13" s="15">
        <f t="shared" si="3"/>
        <v>0.99335180055401662</v>
      </c>
      <c r="AM13" s="15">
        <f t="shared" si="3"/>
        <v>0.99212184873949583</v>
      </c>
      <c r="AN13" s="15">
        <f t="shared" si="3"/>
        <v>0.90948571428571423</v>
      </c>
      <c r="AO13" s="15">
        <f t="shared" si="3"/>
        <v>0.99007326873079649</v>
      </c>
      <c r="AP13" s="15">
        <f t="shared" si="3"/>
        <v>0.98923042405205297</v>
      </c>
      <c r="AQ13" s="15">
        <f t="shared" si="3"/>
        <v>0.91808468539770482</v>
      </c>
      <c r="AR13" s="15">
        <f t="shared" si="3"/>
        <v>0.98786039453717756</v>
      </c>
      <c r="AS13" s="15">
        <f t="shared" si="3"/>
        <v>0.98731379144641995</v>
      </c>
      <c r="AT13" s="15">
        <f t="shared" si="3"/>
        <v>0.92595766560973525</v>
      </c>
      <c r="AU13" s="15">
        <f t="shared" si="3"/>
        <v>0.98645833333333333</v>
      </c>
      <c r="AV13" s="15">
        <f t="shared" si="3"/>
        <v>0.98613747008829111</v>
      </c>
      <c r="AW13" s="15">
        <f t="shared" si="3"/>
        <v>0.93316004455997026</v>
      </c>
      <c r="AX13" s="15">
        <f t="shared" si="3"/>
        <v>0.98391181290034258</v>
      </c>
      <c r="AY13" s="15">
        <f t="shared" si="3"/>
        <v>0.98374473208910296</v>
      </c>
      <c r="AZ13" s="15">
        <f t="shared" si="3"/>
        <v>0.92951738189227051</v>
      </c>
      <c r="BA13" s="15">
        <f t="shared" si="3"/>
        <v>0.98356032687069384</v>
      </c>
      <c r="BB13" s="15">
        <f t="shared" si="3"/>
        <v>0.98353558143789255</v>
      </c>
      <c r="BC13" s="15">
        <f t="shared" si="3"/>
        <v>0.93660396121654099</v>
      </c>
      <c r="BD13" s="15">
        <f t="shared" si="3"/>
        <v>0.98360293711698776</v>
      </c>
      <c r="BE13" s="15">
        <f t="shared" si="3"/>
        <v>0.98368580060422961</v>
      </c>
      <c r="BF13" s="15">
        <f t="shared" si="3"/>
        <v>0.94305162743876136</v>
      </c>
      <c r="BG13" s="15">
        <f t="shared" si="3"/>
        <v>0.98393583854922773</v>
      </c>
      <c r="BH13" s="15">
        <f t="shared" si="3"/>
        <v>0.98409749909387456</v>
      </c>
      <c r="BI13" s="15">
        <f t="shared" si="3"/>
        <v>0.94891998087357854</v>
      </c>
    </row>
    <row r="14" spans="1:61" ht="15" customHeight="1" x14ac:dyDescent="0.35">
      <c r="A14" s="16" t="s">
        <v>275</v>
      </c>
      <c r="B14" s="15">
        <f t="shared" ref="B14:AG14" si="4">IF(B10=0,0,B8/B10)</f>
        <v>0.20578387879802462</v>
      </c>
      <c r="C14" s="15">
        <f t="shared" si="4"/>
        <v>0.22137627368127197</v>
      </c>
      <c r="D14" s="15">
        <f t="shared" si="4"/>
        <v>1.5749242389976933E-2</v>
      </c>
      <c r="E14" s="15">
        <f t="shared" si="4"/>
        <v>8.1015449011870341E-2</v>
      </c>
      <c r="F14" s="15">
        <f t="shared" si="4"/>
        <v>0.11205714428183201</v>
      </c>
      <c r="G14" s="15">
        <f t="shared" si="4"/>
        <v>5.6693081703388146E-2</v>
      </c>
      <c r="H14" s="15">
        <f t="shared" si="4"/>
        <v>2.8127833890990963E-2</v>
      </c>
      <c r="I14" s="15">
        <f t="shared" si="4"/>
        <v>8.9761275338473348E-2</v>
      </c>
      <c r="J14" s="15">
        <f t="shared" si="4"/>
        <v>0.47567114093959734</v>
      </c>
      <c r="K14" s="15">
        <f t="shared" si="4"/>
        <v>0</v>
      </c>
      <c r="L14" s="15">
        <f t="shared" si="4"/>
        <v>0</v>
      </c>
      <c r="M14" s="15">
        <f t="shared" si="4"/>
        <v>0.27713625866050806</v>
      </c>
      <c r="N14" s="15">
        <f t="shared" si="4"/>
        <v>0</v>
      </c>
      <c r="O14" s="15">
        <f t="shared" si="4"/>
        <v>0</v>
      </c>
      <c r="P14" s="15">
        <f t="shared" si="4"/>
        <v>0.21675865529352731</v>
      </c>
      <c r="Q14" s="15">
        <f t="shared" si="4"/>
        <v>0</v>
      </c>
      <c r="R14" s="15">
        <f t="shared" si="4"/>
        <v>0</v>
      </c>
      <c r="S14" s="15">
        <f t="shared" si="4"/>
        <v>0.16634578359645744</v>
      </c>
      <c r="T14" s="15">
        <f t="shared" si="4"/>
        <v>0</v>
      </c>
      <c r="U14" s="15">
        <f t="shared" si="4"/>
        <v>0</v>
      </c>
      <c r="V14" s="15">
        <f t="shared" si="4"/>
        <v>0.1344956413449564</v>
      </c>
      <c r="W14" s="15">
        <f t="shared" si="4"/>
        <v>0</v>
      </c>
      <c r="X14" s="15">
        <f t="shared" si="4"/>
        <v>0</v>
      </c>
      <c r="Y14" s="15">
        <f t="shared" si="4"/>
        <v>0.11188811188811187</v>
      </c>
      <c r="Z14" s="15">
        <f t="shared" si="4"/>
        <v>0</v>
      </c>
      <c r="AA14" s="15">
        <f t="shared" si="4"/>
        <v>0</v>
      </c>
      <c r="AB14" s="15">
        <f t="shared" si="4"/>
        <v>0.12231896368655766</v>
      </c>
      <c r="AC14" s="15">
        <f t="shared" si="4"/>
        <v>0</v>
      </c>
      <c r="AD14" s="15">
        <f t="shared" si="4"/>
        <v>0</v>
      </c>
      <c r="AE14" s="15">
        <f t="shared" si="4"/>
        <v>0.1048607318405243</v>
      </c>
      <c r="AF14" s="15">
        <f t="shared" si="4"/>
        <v>0</v>
      </c>
      <c r="AG14" s="15">
        <f t="shared" si="4"/>
        <v>0</v>
      </c>
      <c r="AH14" s="15">
        <f t="shared" ref="AH14:BI14" si="5">IF(AH10=0,0,AH8/AH10)</f>
        <v>9.0324604045789555E-2</v>
      </c>
      <c r="AI14" s="15">
        <f t="shared" si="5"/>
        <v>0</v>
      </c>
      <c r="AJ14" s="15">
        <f t="shared" si="5"/>
        <v>0</v>
      </c>
      <c r="AK14" s="15">
        <f t="shared" si="5"/>
        <v>7.8027634787320513E-2</v>
      </c>
      <c r="AL14" s="15">
        <f t="shared" si="5"/>
        <v>0</v>
      </c>
      <c r="AM14" s="15">
        <f t="shared" si="5"/>
        <v>0</v>
      </c>
      <c r="AN14" s="15">
        <f t="shared" si="5"/>
        <v>8.2285714285714281E-2</v>
      </c>
      <c r="AO14" s="15">
        <f t="shared" si="5"/>
        <v>0</v>
      </c>
      <c r="AP14" s="15">
        <f t="shared" si="5"/>
        <v>0</v>
      </c>
      <c r="AQ14" s="15">
        <f t="shared" si="5"/>
        <v>7.1230708349821925E-2</v>
      </c>
      <c r="AR14" s="15">
        <f t="shared" si="5"/>
        <v>0</v>
      </c>
      <c r="AS14" s="15">
        <f t="shared" si="5"/>
        <v>0</v>
      </c>
      <c r="AT14" s="15">
        <f t="shared" si="5"/>
        <v>6.1701945325220671E-2</v>
      </c>
      <c r="AU14" s="15">
        <f t="shared" si="5"/>
        <v>0</v>
      </c>
      <c r="AV14" s="15">
        <f t="shared" si="5"/>
        <v>0</v>
      </c>
      <c r="AW14" s="15">
        <f t="shared" si="5"/>
        <v>5.3471964352023768E-2</v>
      </c>
      <c r="AX14" s="15">
        <f t="shared" si="5"/>
        <v>0</v>
      </c>
      <c r="AY14" s="15">
        <f t="shared" si="5"/>
        <v>0</v>
      </c>
      <c r="AZ14" s="15">
        <f t="shared" si="5"/>
        <v>5.5010823888959628E-2</v>
      </c>
      <c r="BA14" s="15">
        <f t="shared" si="5"/>
        <v>0</v>
      </c>
      <c r="BB14" s="15">
        <f t="shared" si="5"/>
        <v>0</v>
      </c>
      <c r="BC14" s="15">
        <f t="shared" si="5"/>
        <v>4.7733488025192665E-2</v>
      </c>
      <c r="BD14" s="15">
        <f t="shared" si="5"/>
        <v>0</v>
      </c>
      <c r="BE14" s="15">
        <f t="shared" si="5"/>
        <v>0</v>
      </c>
      <c r="BF14" s="15">
        <f t="shared" si="5"/>
        <v>4.1416998226355396E-2</v>
      </c>
      <c r="BG14" s="15">
        <f t="shared" si="5"/>
        <v>0</v>
      </c>
      <c r="BH14" s="15">
        <f t="shared" si="5"/>
        <v>0</v>
      </c>
      <c r="BI14" s="15">
        <f t="shared" si="5"/>
        <v>3.5924409055944781E-2</v>
      </c>
    </row>
    <row r="15" spans="1:61" ht="15" customHeight="1" x14ac:dyDescent="0.35">
      <c r="A15" s="16" t="s">
        <v>276</v>
      </c>
      <c r="B15" s="15">
        <f t="shared" ref="B15:AG15" si="6">IF(B10=0,0,B9/B10)</f>
        <v>0</v>
      </c>
      <c r="C15" s="15">
        <f t="shared" si="6"/>
        <v>0</v>
      </c>
      <c r="D15" s="15">
        <f t="shared" si="6"/>
        <v>0</v>
      </c>
      <c r="E15" s="15">
        <f t="shared" si="6"/>
        <v>0</v>
      </c>
      <c r="F15" s="15">
        <f t="shared" si="6"/>
        <v>0</v>
      </c>
      <c r="G15" s="15">
        <f t="shared" si="6"/>
        <v>0</v>
      </c>
      <c r="H15" s="15">
        <f t="shared" si="6"/>
        <v>0</v>
      </c>
      <c r="I15" s="15">
        <f t="shared" si="6"/>
        <v>0</v>
      </c>
      <c r="J15" s="15">
        <f t="shared" si="6"/>
        <v>0</v>
      </c>
      <c r="K15" s="15">
        <f t="shared" si="6"/>
        <v>0</v>
      </c>
      <c r="L15" s="15">
        <f t="shared" si="6"/>
        <v>0</v>
      </c>
      <c r="M15" s="15">
        <f t="shared" si="6"/>
        <v>0</v>
      </c>
      <c r="N15" s="15">
        <f t="shared" si="6"/>
        <v>0</v>
      </c>
      <c r="O15" s="15">
        <f t="shared" si="6"/>
        <v>0</v>
      </c>
      <c r="P15" s="15">
        <f t="shared" si="6"/>
        <v>0</v>
      </c>
      <c r="Q15" s="15">
        <f t="shared" si="6"/>
        <v>0</v>
      </c>
      <c r="R15" s="15">
        <f t="shared" si="6"/>
        <v>0</v>
      </c>
      <c r="S15" s="15">
        <f t="shared" si="6"/>
        <v>0</v>
      </c>
      <c r="T15" s="15">
        <f t="shared" si="6"/>
        <v>0</v>
      </c>
      <c r="U15" s="15">
        <f t="shared" si="6"/>
        <v>0</v>
      </c>
      <c r="V15" s="15">
        <f t="shared" si="6"/>
        <v>0</v>
      </c>
      <c r="W15" s="15">
        <f t="shared" si="6"/>
        <v>0</v>
      </c>
      <c r="X15" s="15">
        <f t="shared" si="6"/>
        <v>0</v>
      </c>
      <c r="Y15" s="15">
        <f t="shared" si="6"/>
        <v>0</v>
      </c>
      <c r="Z15" s="15">
        <f t="shared" si="6"/>
        <v>0</v>
      </c>
      <c r="AA15" s="15">
        <f t="shared" si="6"/>
        <v>0</v>
      </c>
      <c r="AB15" s="15">
        <f t="shared" si="6"/>
        <v>0</v>
      </c>
      <c r="AC15" s="15">
        <f t="shared" si="6"/>
        <v>0</v>
      </c>
      <c r="AD15" s="15">
        <f t="shared" si="6"/>
        <v>0</v>
      </c>
      <c r="AE15" s="15">
        <f t="shared" si="6"/>
        <v>0</v>
      </c>
      <c r="AF15" s="15">
        <f t="shared" si="6"/>
        <v>0</v>
      </c>
      <c r="AG15" s="15">
        <f t="shared" si="6"/>
        <v>0</v>
      </c>
      <c r="AH15" s="15">
        <f t="shared" ref="AH15:BI15" si="7">IF(AH10=0,0,AH9/AH10)</f>
        <v>0</v>
      </c>
      <c r="AI15" s="15">
        <f t="shared" si="7"/>
        <v>0</v>
      </c>
      <c r="AJ15" s="15">
        <f t="shared" si="7"/>
        <v>0</v>
      </c>
      <c r="AK15" s="15">
        <f t="shared" si="7"/>
        <v>0</v>
      </c>
      <c r="AL15" s="15">
        <f t="shared" si="7"/>
        <v>6.6481994459833792E-3</v>
      </c>
      <c r="AM15" s="15">
        <f t="shared" si="7"/>
        <v>7.8781512605042014E-3</v>
      </c>
      <c r="AN15" s="15">
        <f t="shared" si="7"/>
        <v>8.2285714285714288E-3</v>
      </c>
      <c r="AO15" s="15">
        <f t="shared" si="7"/>
        <v>9.9267312692034974E-3</v>
      </c>
      <c r="AP15" s="15">
        <f t="shared" si="7"/>
        <v>1.0769575947947049E-2</v>
      </c>
      <c r="AQ15" s="15">
        <f t="shared" si="7"/>
        <v>1.0684606252473286E-2</v>
      </c>
      <c r="AR15" s="15">
        <f t="shared" si="7"/>
        <v>1.2139605462822457E-2</v>
      </c>
      <c r="AS15" s="15">
        <f t="shared" si="7"/>
        <v>1.2686208553580009E-2</v>
      </c>
      <c r="AT15" s="15">
        <f t="shared" si="7"/>
        <v>1.2340389065044133E-2</v>
      </c>
      <c r="AU15" s="15">
        <f t="shared" si="7"/>
        <v>1.3541666666666667E-2</v>
      </c>
      <c r="AV15" s="15">
        <f t="shared" si="7"/>
        <v>1.3862529911708887E-2</v>
      </c>
      <c r="AW15" s="15">
        <f t="shared" si="7"/>
        <v>1.3367991088005942E-2</v>
      </c>
      <c r="AX15" s="15">
        <f t="shared" si="7"/>
        <v>1.608818709965738E-2</v>
      </c>
      <c r="AY15" s="15">
        <f t="shared" si="7"/>
        <v>1.6255267910897049E-2</v>
      </c>
      <c r="AZ15" s="15">
        <f t="shared" si="7"/>
        <v>1.5471794218769895E-2</v>
      </c>
      <c r="BA15" s="15">
        <f t="shared" si="7"/>
        <v>1.64396731293062E-2</v>
      </c>
      <c r="BB15" s="15">
        <f t="shared" si="7"/>
        <v>1.6464418562107445E-2</v>
      </c>
      <c r="BC15" s="15">
        <f t="shared" si="7"/>
        <v>1.5662550758266346E-2</v>
      </c>
      <c r="BD15" s="15">
        <f t="shared" si="7"/>
        <v>1.6397062883012202E-2</v>
      </c>
      <c r="BE15" s="15">
        <f t="shared" si="7"/>
        <v>1.6314199395770394E-2</v>
      </c>
      <c r="BF15" s="15">
        <f t="shared" si="7"/>
        <v>1.5531374334883274E-2</v>
      </c>
      <c r="BG15" s="15">
        <f t="shared" si="7"/>
        <v>1.6064161450772271E-2</v>
      </c>
      <c r="BH15" s="15">
        <f t="shared" si="7"/>
        <v>1.5902500906125407E-2</v>
      </c>
      <c r="BI15" s="15">
        <f t="shared" si="7"/>
        <v>1.5155610070476706E-2</v>
      </c>
    </row>
    <row r="17" spans="1:61" ht="15" customHeight="1" x14ac:dyDescent="0.35">
      <c r="A17" s="5" t="s">
        <v>277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</row>
    <row r="18" spans="1:61" ht="15" customHeight="1" x14ac:dyDescent="0.35">
      <c r="A18" s="7" t="s">
        <v>278</v>
      </c>
      <c r="B18" s="9">
        <f>B7*'Drivers &amp; Assumptions'!C15</f>
        <v>9488.5</v>
      </c>
      <c r="C18" s="9">
        <f>C7*'Drivers &amp; Assumptions'!C15</f>
        <v>15340.25</v>
      </c>
      <c r="D18" s="9">
        <f>D7*'Drivers &amp; Assumptions'!C15</f>
        <v>27201</v>
      </c>
      <c r="E18" s="9">
        <f>E7*'Drivers &amp; Assumptions'!C15</f>
        <v>14380.5</v>
      </c>
      <c r="F18" s="9">
        <f>F7*'Drivers &amp; Assumptions'!C15</f>
        <v>17807.25</v>
      </c>
      <c r="G18" s="9">
        <f>G7*'Drivers &amp; Assumptions'!C15</f>
        <v>15445</v>
      </c>
      <c r="H18" s="9">
        <f>H7*'Drivers &amp; Assumptions'!C15</f>
        <v>15539.75</v>
      </c>
      <c r="I18" s="9">
        <f>I7*'Drivers &amp; Assumptions'!C15</f>
        <v>45364.25</v>
      </c>
      <c r="J18" s="9">
        <f>J7*'Drivers &amp; Assumptions'!C15</f>
        <v>12500</v>
      </c>
      <c r="K18" s="9">
        <f>K7*'Drivers &amp; Assumptions'!C15</f>
        <v>10930.5</v>
      </c>
      <c r="L18" s="9">
        <f>L7*'Drivers &amp; Assumptions'!C15</f>
        <v>22743</v>
      </c>
      <c r="M18" s="9">
        <f>M7*'Drivers &amp; Assumptions'!C15</f>
        <v>29578.5</v>
      </c>
      <c r="N18" s="9">
        <f>N7*'Drivers &amp; Assumptions'!C15</f>
        <v>36225</v>
      </c>
      <c r="O18" s="9">
        <f>O7*'Drivers &amp; Assumptions'!C15</f>
        <v>42777</v>
      </c>
      <c r="P18" s="9">
        <f>P7*'Drivers &amp; Assumptions'!C15</f>
        <v>49171.5</v>
      </c>
      <c r="Q18" s="9">
        <f>Q7*'Drivers &amp; Assumptions'!C15</f>
        <v>55534.5</v>
      </c>
      <c r="R18" s="9">
        <f>R7*'Drivers &amp; Assumptions'!C15</f>
        <v>61866</v>
      </c>
      <c r="S18" s="9">
        <f>S7*'Drivers &amp; Assumptions'!C15</f>
        <v>68197.5</v>
      </c>
      <c r="T18" s="9">
        <f>T7*'Drivers &amp; Assumptions'!C15</f>
        <v>74623.5</v>
      </c>
      <c r="U18" s="9">
        <f>U7*'Drivers &amp; Assumptions'!C15</f>
        <v>81018</v>
      </c>
      <c r="V18" s="9">
        <f>V7*'Drivers &amp; Assumptions'!C15</f>
        <v>87570</v>
      </c>
      <c r="W18" s="9">
        <f>W7*'Drivers &amp; Assumptions'!C15</f>
        <v>94216.5</v>
      </c>
      <c r="X18" s="9">
        <f>X7*'Drivers &amp; Assumptions'!C15</f>
        <v>101020.5</v>
      </c>
      <c r="Y18" s="9">
        <f>Y7*'Drivers &amp; Assumptions'!C15</f>
        <v>108013.5</v>
      </c>
      <c r="Z18" s="9">
        <f>Z7*'Drivers &amp; Assumptions'!C15</f>
        <v>115164</v>
      </c>
      <c r="AA18" s="9">
        <f>AA7*'Drivers &amp; Assumptions'!C15</f>
        <v>122535</v>
      </c>
      <c r="AB18" s="9">
        <f>AB7*'Drivers &amp; Assumptions'!C15</f>
        <v>130189.5</v>
      </c>
      <c r="AC18" s="9">
        <f>AC7*'Drivers &amp; Assumptions'!C15</f>
        <v>138096</v>
      </c>
      <c r="AD18" s="9">
        <f>AD7*'Drivers &amp; Assumptions'!C15</f>
        <v>146317.5</v>
      </c>
      <c r="AE18" s="9">
        <f>AE7*'Drivers &amp; Assumptions'!C15</f>
        <v>154885.5</v>
      </c>
      <c r="AF18" s="9">
        <f>AF7*'Drivers &amp; Assumptions'!C15</f>
        <v>163768.5</v>
      </c>
      <c r="AG18" s="9">
        <f>AG7*'Drivers &amp; Assumptions'!C15</f>
        <v>173061</v>
      </c>
      <c r="AH18" s="9">
        <f>AH7*'Drivers &amp; Assumptions'!C15</f>
        <v>182731.5</v>
      </c>
      <c r="AI18" s="9">
        <f>AI7*'Drivers &amp; Assumptions'!C15</f>
        <v>192843</v>
      </c>
      <c r="AJ18" s="9">
        <f>AJ7*'Drivers &amp; Assumptions'!C15</f>
        <v>203364</v>
      </c>
      <c r="AK18" s="9">
        <f>AK7*'Drivers &amp; Assumptions'!C15</f>
        <v>214389</v>
      </c>
      <c r="AL18" s="9">
        <f>AL7*'Drivers &amp; Assumptions'!C15</f>
        <v>225918</v>
      </c>
      <c r="AM18" s="9">
        <f>AM7*'Drivers &amp; Assumptions'!C15</f>
        <v>238014</v>
      </c>
      <c r="AN18" s="9">
        <f>AN7*'Drivers &amp; Assumptions'!C15</f>
        <v>250677</v>
      </c>
      <c r="AO18" s="9">
        <f>AO7*'Drivers &amp; Assumptions'!C15</f>
        <v>263907</v>
      </c>
      <c r="AP18" s="9">
        <f>AP7*'Drivers &amp; Assumptions'!C15</f>
        <v>277767</v>
      </c>
      <c r="AQ18" s="9">
        <f>AQ7*'Drivers &amp; Assumptions'!C15</f>
        <v>292320</v>
      </c>
      <c r="AR18" s="9">
        <f>AR7*'Drivers &amp; Assumptions'!C15</f>
        <v>307597.5</v>
      </c>
      <c r="AS18" s="9">
        <f>AS7*'Drivers &amp; Assumptions'!C15</f>
        <v>323599.5</v>
      </c>
      <c r="AT18" s="9">
        <f>AT7*'Drivers &amp; Assumptions'!C15</f>
        <v>340357.5</v>
      </c>
      <c r="AU18" s="9">
        <f>AU7*'Drivers &amp; Assumptions'!C15</f>
        <v>357966</v>
      </c>
      <c r="AV18" s="9">
        <f>AV7*'Drivers &amp; Assumptions'!C15</f>
        <v>376456.5</v>
      </c>
      <c r="AW18" s="9">
        <f>AW7*'Drivers &amp; Assumptions'!C15</f>
        <v>395797.5</v>
      </c>
      <c r="AX18" s="9">
        <f>AX7*'Drivers &amp; Assumptions'!C15</f>
        <v>416115</v>
      </c>
      <c r="AY18" s="9">
        <f>AY7*'Drivers &amp; Assumptions'!C15</f>
        <v>437503.5</v>
      </c>
      <c r="AZ18" s="9">
        <f>AZ7*'Drivers &amp; Assumptions'!C15</f>
        <v>459868.5</v>
      </c>
      <c r="BA18" s="9">
        <f>BA7*'Drivers &amp; Assumptions'!C15</f>
        <v>483399</v>
      </c>
      <c r="BB18" s="9">
        <f>BB7*'Drivers &amp; Assumptions'!C15</f>
        <v>508063.5</v>
      </c>
      <c r="BC18" s="9">
        <f>BC7*'Drivers &amp; Assumptions'!C15</f>
        <v>534019.5</v>
      </c>
      <c r="BD18" s="9">
        <f>BD7*'Drivers &amp; Assumptions'!C15</f>
        <v>561204</v>
      </c>
      <c r="BE18" s="9">
        <f>BE7*'Drivers &amp; Assumptions'!C15</f>
        <v>589743</v>
      </c>
      <c r="BF18" s="9">
        <f>BF7*'Drivers &amp; Assumptions'!C15</f>
        <v>619699.5</v>
      </c>
      <c r="BG18" s="9">
        <f>BG7*'Drivers &amp; Assumptions'!C15</f>
        <v>651168</v>
      </c>
      <c r="BH18" s="9">
        <f>BH7*'Drivers &amp; Assumptions'!C15</f>
        <v>684211.5</v>
      </c>
      <c r="BI18" s="9">
        <f>BI7*'Drivers &amp; Assumptions'!C15</f>
        <v>718893</v>
      </c>
    </row>
    <row r="19" spans="1:61" ht="15" customHeight="1" x14ac:dyDescent="0.35">
      <c r="A19" s="7" t="s">
        <v>279</v>
      </c>
      <c r="B19" s="9">
        <f>'DTC Revenue'!B31*'Drivers &amp; Assumptions'!C13</f>
        <v>3612</v>
      </c>
      <c r="C19" s="9">
        <f>'DTC Revenue'!C31*'Drivers &amp; Assumptions'!C13</f>
        <v>5844</v>
      </c>
      <c r="D19" s="9">
        <f>'DTC Revenue'!D31*'Drivers &amp; Assumptions'!C13</f>
        <v>10368</v>
      </c>
      <c r="E19" s="9">
        <f>'DTC Revenue'!E31*'Drivers &amp; Assumptions'!C13</f>
        <v>5484</v>
      </c>
      <c r="F19" s="9">
        <f>'DTC Revenue'!F31*'Drivers &amp; Assumptions'!C13</f>
        <v>6780</v>
      </c>
      <c r="G19" s="9">
        <f>'DTC Revenue'!G31*'Drivers &amp; Assumptions'!C13</f>
        <v>5880</v>
      </c>
      <c r="H19" s="9">
        <f>'DTC Revenue'!H31*'Drivers &amp; Assumptions'!C13</f>
        <v>5916</v>
      </c>
      <c r="I19" s="9">
        <f>'DTC Revenue'!I31*'Drivers &amp; Assumptions'!C13</f>
        <v>17280</v>
      </c>
      <c r="J19" s="9">
        <f>'DTC Revenue'!J31*'Drivers &amp; Assumptions'!C13</f>
        <v>804</v>
      </c>
      <c r="K19" s="9">
        <f>'DTC Revenue'!K31*'Drivers &amp; Assumptions'!C13</f>
        <v>4164</v>
      </c>
      <c r="L19" s="9">
        <f>'DTC Revenue'!L31*'Drivers &amp; Assumptions'!C13</f>
        <v>8664</v>
      </c>
      <c r="M19" s="9">
        <f>'DTC Revenue'!M31*'Drivers &amp; Assumptions'!C13</f>
        <v>11268</v>
      </c>
      <c r="N19" s="9">
        <f>'DTC Revenue'!N31*'Drivers &amp; Assumptions'!C13</f>
        <v>13800</v>
      </c>
      <c r="O19" s="9">
        <f>'DTC Revenue'!O31*'Drivers &amp; Assumptions'!C13</f>
        <v>16296</v>
      </c>
      <c r="P19" s="9">
        <f>'DTC Revenue'!P31*'Drivers &amp; Assumptions'!C13</f>
        <v>18732</v>
      </c>
      <c r="Q19" s="9">
        <f>'DTC Revenue'!Q31*'Drivers &amp; Assumptions'!C13</f>
        <v>21156</v>
      </c>
      <c r="R19" s="9">
        <f>'DTC Revenue'!R31*'Drivers &amp; Assumptions'!C13</f>
        <v>23568</v>
      </c>
      <c r="S19" s="9">
        <f>'DTC Revenue'!S31*'Drivers &amp; Assumptions'!C13</f>
        <v>25980</v>
      </c>
      <c r="T19" s="9">
        <f>'DTC Revenue'!T31*'Drivers &amp; Assumptions'!C13</f>
        <v>28428</v>
      </c>
      <c r="U19" s="9">
        <f>'DTC Revenue'!U31*'Drivers &amp; Assumptions'!C13</f>
        <v>30864</v>
      </c>
      <c r="V19" s="9">
        <f>'DTC Revenue'!V31*'Drivers &amp; Assumptions'!C13</f>
        <v>33360</v>
      </c>
      <c r="W19" s="9">
        <f>'DTC Revenue'!W31*'Drivers &amp; Assumptions'!C13</f>
        <v>35892</v>
      </c>
      <c r="X19" s="9">
        <f>'DTC Revenue'!X31*'Drivers &amp; Assumptions'!C13</f>
        <v>38484</v>
      </c>
      <c r="Y19" s="9">
        <f>'DTC Revenue'!Y31*'Drivers &amp; Assumptions'!C13</f>
        <v>41148</v>
      </c>
      <c r="Z19" s="9">
        <f>'DTC Revenue'!Z31*'Drivers &amp; Assumptions'!C13</f>
        <v>43872</v>
      </c>
      <c r="AA19" s="9">
        <f>'DTC Revenue'!AA31*'Drivers &amp; Assumptions'!C13</f>
        <v>46680</v>
      </c>
      <c r="AB19" s="9">
        <f>'DTC Revenue'!AB31*'Drivers &amp; Assumptions'!C13</f>
        <v>49596</v>
      </c>
      <c r="AC19" s="9">
        <f>'DTC Revenue'!AC31*'Drivers &amp; Assumptions'!C13</f>
        <v>52608</v>
      </c>
      <c r="AD19" s="9">
        <f>'DTC Revenue'!AD31*'Drivers &amp; Assumptions'!C13</f>
        <v>55740</v>
      </c>
      <c r="AE19" s="9">
        <f>'DTC Revenue'!AE31*'Drivers &amp; Assumptions'!C13</f>
        <v>59004</v>
      </c>
      <c r="AF19" s="9">
        <f>'DTC Revenue'!AF31*'Drivers &amp; Assumptions'!C13</f>
        <v>62388</v>
      </c>
      <c r="AG19" s="9">
        <f>'DTC Revenue'!AG31*'Drivers &amp; Assumptions'!C13</f>
        <v>65928</v>
      </c>
      <c r="AH19" s="9">
        <f>'DTC Revenue'!AH31*'Drivers &amp; Assumptions'!C13</f>
        <v>69612</v>
      </c>
      <c r="AI19" s="9">
        <f>'DTC Revenue'!AI31*'Drivers &amp; Assumptions'!C13</f>
        <v>73464</v>
      </c>
      <c r="AJ19" s="9">
        <f>'DTC Revenue'!AJ31*'Drivers &amp; Assumptions'!C13</f>
        <v>77472</v>
      </c>
      <c r="AK19" s="9">
        <f>'DTC Revenue'!AK31*'Drivers &amp; Assumptions'!C13</f>
        <v>81672</v>
      </c>
      <c r="AL19" s="9">
        <f>'DTC Revenue'!AL31*'Drivers &amp; Assumptions'!C13</f>
        <v>86064</v>
      </c>
      <c r="AM19" s="9">
        <f>'DTC Revenue'!AM31*'Drivers &amp; Assumptions'!C13</f>
        <v>90672</v>
      </c>
      <c r="AN19" s="9">
        <f>'DTC Revenue'!AN31*'Drivers &amp; Assumptions'!C13</f>
        <v>95496</v>
      </c>
      <c r="AO19" s="9">
        <f>'DTC Revenue'!AO31*'Drivers &amp; Assumptions'!C13</f>
        <v>100536</v>
      </c>
      <c r="AP19" s="9">
        <f>'DTC Revenue'!AP31*'Drivers &amp; Assumptions'!C13</f>
        <v>105816</v>
      </c>
      <c r="AQ19" s="9">
        <f>'DTC Revenue'!AQ31*'Drivers &amp; Assumptions'!C13</f>
        <v>111360</v>
      </c>
      <c r="AR19" s="9">
        <f>'DTC Revenue'!AR31*'Drivers &amp; Assumptions'!C13</f>
        <v>117180</v>
      </c>
      <c r="AS19" s="9">
        <f>'DTC Revenue'!AS31*'Drivers &amp; Assumptions'!C13</f>
        <v>123276</v>
      </c>
      <c r="AT19" s="9">
        <f>'DTC Revenue'!AT31*'Drivers &amp; Assumptions'!C13</f>
        <v>129660</v>
      </c>
      <c r="AU19" s="9">
        <f>'DTC Revenue'!AU31*'Drivers &amp; Assumptions'!C13</f>
        <v>136368</v>
      </c>
      <c r="AV19" s="9">
        <f>'DTC Revenue'!AV31*'Drivers &amp; Assumptions'!C13</f>
        <v>143412</v>
      </c>
      <c r="AW19" s="9">
        <f>'DTC Revenue'!AW31*'Drivers &amp; Assumptions'!C13</f>
        <v>150780</v>
      </c>
      <c r="AX19" s="9">
        <f>'DTC Revenue'!AX31*'Drivers &amp; Assumptions'!C13</f>
        <v>158520</v>
      </c>
      <c r="AY19" s="9">
        <f>'DTC Revenue'!AY31*'Drivers &amp; Assumptions'!C13</f>
        <v>166668</v>
      </c>
      <c r="AZ19" s="9">
        <f>'DTC Revenue'!AZ31*'Drivers &amp; Assumptions'!C13</f>
        <v>175188</v>
      </c>
      <c r="BA19" s="9">
        <f>'DTC Revenue'!BA31*'Drivers &amp; Assumptions'!C13</f>
        <v>184152</v>
      </c>
      <c r="BB19" s="9">
        <f>'DTC Revenue'!BB31*'Drivers &amp; Assumptions'!C13</f>
        <v>193548</v>
      </c>
      <c r="BC19" s="9">
        <f>'DTC Revenue'!BC31*'Drivers &amp; Assumptions'!C13</f>
        <v>203436</v>
      </c>
      <c r="BD19" s="9">
        <f>'DTC Revenue'!BD31*'Drivers &amp; Assumptions'!C13</f>
        <v>213792</v>
      </c>
      <c r="BE19" s="9">
        <f>'DTC Revenue'!BE31*'Drivers &amp; Assumptions'!C13</f>
        <v>224664</v>
      </c>
      <c r="BF19" s="9">
        <f>'DTC Revenue'!BF31*'Drivers &amp; Assumptions'!C13</f>
        <v>236076</v>
      </c>
      <c r="BG19" s="9">
        <f>'DTC Revenue'!BG31*'Drivers &amp; Assumptions'!C13</f>
        <v>248064</v>
      </c>
      <c r="BH19" s="9">
        <f>'DTC Revenue'!BH31*'Drivers &amp; Assumptions'!C13</f>
        <v>260652</v>
      </c>
      <c r="BI19" s="9">
        <f>'DTC Revenue'!BI31*'Drivers &amp; Assumptions'!C13</f>
        <v>273864</v>
      </c>
    </row>
    <row r="20" spans="1:61" ht="15" customHeight="1" x14ac:dyDescent="0.35">
      <c r="A20" s="7" t="s">
        <v>280</v>
      </c>
      <c r="B20" s="9">
        <f>B7*'Drivers &amp; Assumptions'!C14</f>
        <v>1138.6199999999999</v>
      </c>
      <c r="C20" s="9">
        <f>C7*'Drivers &amp; Assumptions'!C14</f>
        <v>1840.83</v>
      </c>
      <c r="D20" s="9">
        <f>D7*'Drivers &amp; Assumptions'!C14</f>
        <v>3264.12</v>
      </c>
      <c r="E20" s="9">
        <f>E7*'Drivers &amp; Assumptions'!C14</f>
        <v>1725.6599999999999</v>
      </c>
      <c r="F20" s="9">
        <f>F7*'Drivers &amp; Assumptions'!C14</f>
        <v>2136.87</v>
      </c>
      <c r="G20" s="9">
        <f>G7*'Drivers &amp; Assumptions'!C14</f>
        <v>1853.3999999999999</v>
      </c>
      <c r="H20" s="9">
        <f>H7*'Drivers &amp; Assumptions'!C14</f>
        <v>1864.77</v>
      </c>
      <c r="I20" s="9">
        <f>I7*'Drivers &amp; Assumptions'!C14</f>
        <v>5443.71</v>
      </c>
      <c r="J20" s="9">
        <f>J7*'Drivers &amp; Assumptions'!C14</f>
        <v>1500</v>
      </c>
      <c r="K20" s="9">
        <f>K7*'Drivers &amp; Assumptions'!C14</f>
        <v>1311.6599999999999</v>
      </c>
      <c r="L20" s="9">
        <f>L7*'Drivers &amp; Assumptions'!C14</f>
        <v>2729.16</v>
      </c>
      <c r="M20" s="9">
        <f>M7*'Drivers &amp; Assumptions'!C14</f>
        <v>3549.42</v>
      </c>
      <c r="N20" s="9">
        <f>N7*'Drivers &amp; Assumptions'!C14</f>
        <v>4347</v>
      </c>
      <c r="O20" s="9">
        <f>O7*'Drivers &amp; Assumptions'!C14</f>
        <v>5133.24</v>
      </c>
      <c r="P20" s="9">
        <f>P7*'Drivers &amp; Assumptions'!C14</f>
        <v>5900.58</v>
      </c>
      <c r="Q20" s="9">
        <f>Q7*'Drivers &amp; Assumptions'!C14</f>
        <v>6664.1399999999994</v>
      </c>
      <c r="R20" s="9">
        <f>R7*'Drivers &amp; Assumptions'!C14</f>
        <v>7423.92</v>
      </c>
      <c r="S20" s="9">
        <f>S7*'Drivers &amp; Assumptions'!C14</f>
        <v>8183.7</v>
      </c>
      <c r="T20" s="9">
        <f>T7*'Drivers &amp; Assumptions'!C14</f>
        <v>8954.82</v>
      </c>
      <c r="U20" s="9">
        <f>U7*'Drivers &amp; Assumptions'!C14</f>
        <v>9722.16</v>
      </c>
      <c r="V20" s="9">
        <f>V7*'Drivers &amp; Assumptions'!C14</f>
        <v>10508.4</v>
      </c>
      <c r="W20" s="9">
        <f>W7*'Drivers &amp; Assumptions'!C14</f>
        <v>11305.98</v>
      </c>
      <c r="X20" s="9">
        <f>X7*'Drivers &amp; Assumptions'!C14</f>
        <v>12122.46</v>
      </c>
      <c r="Y20" s="9">
        <f>Y7*'Drivers &amp; Assumptions'!C14</f>
        <v>12961.619999999999</v>
      </c>
      <c r="Z20" s="9">
        <f>Z7*'Drivers &amp; Assumptions'!C14</f>
        <v>13819.68</v>
      </c>
      <c r="AA20" s="9">
        <f>AA7*'Drivers &amp; Assumptions'!C14</f>
        <v>14704.199999999999</v>
      </c>
      <c r="AB20" s="9">
        <f>AB7*'Drivers &amp; Assumptions'!C14</f>
        <v>15622.74</v>
      </c>
      <c r="AC20" s="9">
        <f>AC7*'Drivers &amp; Assumptions'!C14</f>
        <v>16571.52</v>
      </c>
      <c r="AD20" s="9">
        <f>AD7*'Drivers &amp; Assumptions'!C14</f>
        <v>17558.099999999999</v>
      </c>
      <c r="AE20" s="9">
        <f>AE7*'Drivers &amp; Assumptions'!C14</f>
        <v>18586.259999999998</v>
      </c>
      <c r="AF20" s="9">
        <f>AF7*'Drivers &amp; Assumptions'!C14</f>
        <v>19652.219999999998</v>
      </c>
      <c r="AG20" s="9">
        <f>AG7*'Drivers &amp; Assumptions'!C14</f>
        <v>20767.32</v>
      </c>
      <c r="AH20" s="9">
        <f>AH7*'Drivers &amp; Assumptions'!C14</f>
        <v>21927.78</v>
      </c>
      <c r="AI20" s="9">
        <f>AI7*'Drivers &amp; Assumptions'!C14</f>
        <v>23141.16</v>
      </c>
      <c r="AJ20" s="9">
        <f>AJ7*'Drivers &amp; Assumptions'!C14</f>
        <v>24403.68</v>
      </c>
      <c r="AK20" s="9">
        <f>AK7*'Drivers &amp; Assumptions'!C14</f>
        <v>25726.68</v>
      </c>
      <c r="AL20" s="9">
        <f>AL7*'Drivers &amp; Assumptions'!C14</f>
        <v>27110.16</v>
      </c>
      <c r="AM20" s="9">
        <f>AM7*'Drivers &amp; Assumptions'!C14</f>
        <v>28561.68</v>
      </c>
      <c r="AN20" s="9">
        <f>AN7*'Drivers &amp; Assumptions'!C14</f>
        <v>30081.239999999998</v>
      </c>
      <c r="AO20" s="9">
        <f>AO7*'Drivers &amp; Assumptions'!C14</f>
        <v>31668.84</v>
      </c>
      <c r="AP20" s="9">
        <f>AP7*'Drivers &amp; Assumptions'!C14</f>
        <v>33332.04</v>
      </c>
      <c r="AQ20" s="9">
        <f>AQ7*'Drivers &amp; Assumptions'!C14</f>
        <v>35078.400000000001</v>
      </c>
      <c r="AR20" s="9">
        <f>AR7*'Drivers &amp; Assumptions'!C14</f>
        <v>36911.699999999997</v>
      </c>
      <c r="AS20" s="9">
        <f>AS7*'Drivers &amp; Assumptions'!C14</f>
        <v>38831.939999999995</v>
      </c>
      <c r="AT20" s="9">
        <f>AT7*'Drivers &amp; Assumptions'!C14</f>
        <v>40842.9</v>
      </c>
      <c r="AU20" s="9">
        <f>AU7*'Drivers &amp; Assumptions'!C14</f>
        <v>42955.92</v>
      </c>
      <c r="AV20" s="9">
        <f>AV7*'Drivers &amp; Assumptions'!C14</f>
        <v>45174.78</v>
      </c>
      <c r="AW20" s="9">
        <f>AW7*'Drivers &amp; Assumptions'!C14</f>
        <v>47495.7</v>
      </c>
      <c r="AX20" s="9">
        <f>AX7*'Drivers &amp; Assumptions'!C14</f>
        <v>49933.799999999996</v>
      </c>
      <c r="AY20" s="9">
        <f>AY7*'Drivers &amp; Assumptions'!C14</f>
        <v>52500.42</v>
      </c>
      <c r="AZ20" s="9">
        <f>AZ7*'Drivers &amp; Assumptions'!C14</f>
        <v>55184.22</v>
      </c>
      <c r="BA20" s="9">
        <f>BA7*'Drivers &amp; Assumptions'!C14</f>
        <v>58007.88</v>
      </c>
      <c r="BB20" s="9">
        <f>BB7*'Drivers &amp; Assumptions'!C14</f>
        <v>60967.619999999995</v>
      </c>
      <c r="BC20" s="9">
        <f>BC7*'Drivers &amp; Assumptions'!C14</f>
        <v>64082.34</v>
      </c>
      <c r="BD20" s="9">
        <f>BD7*'Drivers &amp; Assumptions'!C14</f>
        <v>67344.479999999996</v>
      </c>
      <c r="BE20" s="9">
        <f>BE7*'Drivers &amp; Assumptions'!C14</f>
        <v>70769.16</v>
      </c>
      <c r="BF20" s="9">
        <f>BF7*'Drivers &amp; Assumptions'!C14</f>
        <v>74363.94</v>
      </c>
      <c r="BG20" s="9">
        <f>BG7*'Drivers &amp; Assumptions'!C14</f>
        <v>78140.160000000003</v>
      </c>
      <c r="BH20" s="9">
        <f>BH7*'Drivers &amp; Assumptions'!C14</f>
        <v>82105.37999999999</v>
      </c>
      <c r="BI20" s="9">
        <f>BI7*'Drivers &amp; Assumptions'!C14</f>
        <v>86267.16</v>
      </c>
    </row>
    <row r="21" spans="1:61" ht="15" customHeight="1" x14ac:dyDescent="0.35">
      <c r="A21" s="7" t="s">
        <v>281</v>
      </c>
      <c r="B21" s="9">
        <f>B8*'Drivers &amp; Assumptions'!C22</f>
        <v>2458.5</v>
      </c>
      <c r="C21" s="9">
        <f>C8*'Drivers &amp; Assumptions'!C22</f>
        <v>4361.5</v>
      </c>
      <c r="D21" s="9">
        <f>D8*'Drivers &amp; Assumptions'!C22</f>
        <v>435.25</v>
      </c>
      <c r="E21" s="9">
        <f>E8*'Drivers &amp; Assumptions'!C22</f>
        <v>1267.75</v>
      </c>
      <c r="F21" s="9">
        <f>F8*'Drivers &amp; Assumptions'!C22</f>
        <v>2247.25</v>
      </c>
      <c r="G21" s="9">
        <f>G8*'Drivers &amp; Assumptions'!C22</f>
        <v>928.25</v>
      </c>
      <c r="H21" s="9">
        <f>H8*'Drivers &amp; Assumptions'!C22</f>
        <v>449.75</v>
      </c>
      <c r="I21" s="9">
        <f>I8*'Drivers &amp; Assumptions'!C22</f>
        <v>4473.5</v>
      </c>
      <c r="J21" s="9">
        <f>J8*'Drivers &amp; Assumptions'!C22</f>
        <v>11340</v>
      </c>
      <c r="K21" s="9">
        <f>K8*'Drivers &amp; Assumptions'!C22</f>
        <v>0</v>
      </c>
      <c r="L21" s="9">
        <f>L8*'Drivers &amp; Assumptions'!C22</f>
        <v>0</v>
      </c>
      <c r="M21" s="9">
        <f>M8*'Drivers &amp; Assumptions'!C22</f>
        <v>11340</v>
      </c>
      <c r="N21" s="9">
        <f>N8*'Drivers &amp; Assumptions'!C22</f>
        <v>0</v>
      </c>
      <c r="O21" s="9">
        <f>O8*'Drivers &amp; Assumptions'!C22</f>
        <v>0</v>
      </c>
      <c r="P21" s="9">
        <f>P8*'Drivers &amp; Assumptions'!C22</f>
        <v>13607.999999999998</v>
      </c>
      <c r="Q21" s="9">
        <f>Q8*'Drivers &amp; Assumptions'!C22</f>
        <v>0</v>
      </c>
      <c r="R21" s="9">
        <f>R8*'Drivers &amp; Assumptions'!C22</f>
        <v>0</v>
      </c>
      <c r="S21" s="9">
        <f>S8*'Drivers &amp; Assumptions'!C22</f>
        <v>13607.999999999998</v>
      </c>
      <c r="T21" s="9">
        <f>T8*'Drivers &amp; Assumptions'!C22</f>
        <v>0</v>
      </c>
      <c r="U21" s="9">
        <f>U8*'Drivers &amp; Assumptions'!C22</f>
        <v>0</v>
      </c>
      <c r="V21" s="9">
        <f>V8*'Drivers &amp; Assumptions'!C22</f>
        <v>13607.999999999998</v>
      </c>
      <c r="W21" s="9">
        <f>W8*'Drivers &amp; Assumptions'!C22</f>
        <v>0</v>
      </c>
      <c r="X21" s="9">
        <f>X8*'Drivers &amp; Assumptions'!C22</f>
        <v>0</v>
      </c>
      <c r="Y21" s="9">
        <f>Y8*'Drivers &amp; Assumptions'!C22</f>
        <v>13607.999999999998</v>
      </c>
      <c r="Z21" s="9">
        <f>Z8*'Drivers &amp; Assumptions'!C22</f>
        <v>0</v>
      </c>
      <c r="AA21" s="9">
        <f>AA8*'Drivers &amp; Assumptions'!C22</f>
        <v>0</v>
      </c>
      <c r="AB21" s="9">
        <f>AB8*'Drivers &amp; Assumptions'!C22</f>
        <v>18144</v>
      </c>
      <c r="AC21" s="9">
        <f>AC8*'Drivers &amp; Assumptions'!C22</f>
        <v>0</v>
      </c>
      <c r="AD21" s="9">
        <f>AD8*'Drivers &amp; Assumptions'!C22</f>
        <v>0</v>
      </c>
      <c r="AE21" s="9">
        <f>AE8*'Drivers &amp; Assumptions'!C22</f>
        <v>18144</v>
      </c>
      <c r="AF21" s="9">
        <f>AF8*'Drivers &amp; Assumptions'!C22</f>
        <v>0</v>
      </c>
      <c r="AG21" s="9">
        <f>AG8*'Drivers &amp; Assumptions'!C22</f>
        <v>0</v>
      </c>
      <c r="AH21" s="9">
        <f>AH8*'Drivers &amp; Assumptions'!C22</f>
        <v>18144</v>
      </c>
      <c r="AI21" s="9">
        <f>AI8*'Drivers &amp; Assumptions'!C22</f>
        <v>0</v>
      </c>
      <c r="AJ21" s="9">
        <f>AJ8*'Drivers &amp; Assumptions'!C22</f>
        <v>0</v>
      </c>
      <c r="AK21" s="9">
        <f>AK8*'Drivers &amp; Assumptions'!C22</f>
        <v>18144</v>
      </c>
      <c r="AL21" s="9">
        <f>AL8*'Drivers &amp; Assumptions'!C22</f>
        <v>0</v>
      </c>
      <c r="AM21" s="9">
        <f>AM8*'Drivers &amp; Assumptions'!C22</f>
        <v>0</v>
      </c>
      <c r="AN21" s="9">
        <f>AN8*'Drivers &amp; Assumptions'!C22</f>
        <v>22680</v>
      </c>
      <c r="AO21" s="9">
        <f>AO8*'Drivers &amp; Assumptions'!C22</f>
        <v>0</v>
      </c>
      <c r="AP21" s="9">
        <f>AP8*'Drivers &amp; Assumptions'!C22</f>
        <v>0</v>
      </c>
      <c r="AQ21" s="9">
        <f>AQ8*'Drivers &amp; Assumptions'!C22</f>
        <v>22680</v>
      </c>
      <c r="AR21" s="9">
        <f>AR8*'Drivers &amp; Assumptions'!C22</f>
        <v>0</v>
      </c>
      <c r="AS21" s="9">
        <f>AS8*'Drivers &amp; Assumptions'!C22</f>
        <v>0</v>
      </c>
      <c r="AT21" s="9">
        <f>AT8*'Drivers &amp; Assumptions'!C22</f>
        <v>22680</v>
      </c>
      <c r="AU21" s="9">
        <f>AU8*'Drivers &amp; Assumptions'!C22</f>
        <v>0</v>
      </c>
      <c r="AV21" s="9">
        <f>AV8*'Drivers &amp; Assumptions'!C22</f>
        <v>0</v>
      </c>
      <c r="AW21" s="9">
        <f>AW8*'Drivers &amp; Assumptions'!C22</f>
        <v>22680</v>
      </c>
      <c r="AX21" s="9">
        <f>AX8*'Drivers &amp; Assumptions'!C22</f>
        <v>0</v>
      </c>
      <c r="AY21" s="9">
        <f>AY8*'Drivers &amp; Assumptions'!C22</f>
        <v>0</v>
      </c>
      <c r="AZ21" s="9">
        <f>AZ8*'Drivers &amp; Assumptions'!C22</f>
        <v>27215.999999999996</v>
      </c>
      <c r="BA21" s="9">
        <f>BA8*'Drivers &amp; Assumptions'!C22</f>
        <v>0</v>
      </c>
      <c r="BB21" s="9">
        <f>BB8*'Drivers &amp; Assumptions'!C22</f>
        <v>0</v>
      </c>
      <c r="BC21" s="9">
        <f>BC8*'Drivers &amp; Assumptions'!C22</f>
        <v>27215.999999999996</v>
      </c>
      <c r="BD21" s="9">
        <f>BD8*'Drivers &amp; Assumptions'!C22</f>
        <v>0</v>
      </c>
      <c r="BE21" s="9">
        <f>BE8*'Drivers &amp; Assumptions'!C22</f>
        <v>0</v>
      </c>
      <c r="BF21" s="9">
        <f>BF8*'Drivers &amp; Assumptions'!C22</f>
        <v>27215.999999999996</v>
      </c>
      <c r="BG21" s="9">
        <f>BG8*'Drivers &amp; Assumptions'!C22</f>
        <v>0</v>
      </c>
      <c r="BH21" s="9">
        <f>BH8*'Drivers &amp; Assumptions'!C22</f>
        <v>0</v>
      </c>
      <c r="BI21" s="9">
        <f>BI8*'Drivers &amp; Assumptions'!C22</f>
        <v>27215.999999999996</v>
      </c>
    </row>
    <row r="22" spans="1:61" ht="15" customHeight="1" x14ac:dyDescent="0.35">
      <c r="A22" s="7" t="s">
        <v>282</v>
      </c>
      <c r="B22" s="9">
        <f>'Wholesale by Country'!B36*'Drivers &amp; Assumptions'!C23</f>
        <v>0</v>
      </c>
      <c r="C22" s="9">
        <f>'Wholesale by Country'!C36*'Drivers &amp; Assumptions'!C23</f>
        <v>0</v>
      </c>
      <c r="D22" s="9">
        <f>'Wholesale by Country'!D36*'Drivers &amp; Assumptions'!C23</f>
        <v>0</v>
      </c>
      <c r="E22" s="9">
        <f>'Wholesale by Country'!E36*'Drivers &amp; Assumptions'!C23</f>
        <v>0</v>
      </c>
      <c r="F22" s="9">
        <f>'Wholesale by Country'!F36*'Drivers &amp; Assumptions'!C23</f>
        <v>0</v>
      </c>
      <c r="G22" s="9">
        <f>'Wholesale by Country'!G36*'Drivers &amp; Assumptions'!C23</f>
        <v>0</v>
      </c>
      <c r="H22" s="9">
        <f>'Wholesale by Country'!H36*'Drivers &amp; Assumptions'!C23</f>
        <v>0</v>
      </c>
      <c r="I22" s="9">
        <f>'Wholesale by Country'!I36*'Drivers &amp; Assumptions'!C23</f>
        <v>0</v>
      </c>
      <c r="J22" s="9">
        <f>'Wholesale by Country'!J36*'Drivers &amp; Assumptions'!C23</f>
        <v>500</v>
      </c>
      <c r="K22" s="9">
        <f>'Wholesale by Country'!K36*'Drivers &amp; Assumptions'!C23</f>
        <v>0</v>
      </c>
      <c r="L22" s="9">
        <f>'Wholesale by Country'!L36*'Drivers &amp; Assumptions'!C23</f>
        <v>0</v>
      </c>
      <c r="M22" s="9">
        <f>'Wholesale by Country'!M36*'Drivers &amp; Assumptions'!C23</f>
        <v>500</v>
      </c>
      <c r="N22" s="9">
        <f>'Wholesale by Country'!N36*'Drivers &amp; Assumptions'!C23</f>
        <v>0</v>
      </c>
      <c r="O22" s="9">
        <f>'Wholesale by Country'!O36*'Drivers &amp; Assumptions'!C23</f>
        <v>0</v>
      </c>
      <c r="P22" s="9">
        <f>'Wholesale by Country'!P36*'Drivers &amp; Assumptions'!C23</f>
        <v>600</v>
      </c>
      <c r="Q22" s="9">
        <f>'Wholesale by Country'!Q36*'Drivers &amp; Assumptions'!C23</f>
        <v>0</v>
      </c>
      <c r="R22" s="9">
        <f>'Wholesale by Country'!R36*'Drivers &amp; Assumptions'!C23</f>
        <v>0</v>
      </c>
      <c r="S22" s="9">
        <f>'Wholesale by Country'!S36*'Drivers &amp; Assumptions'!C23</f>
        <v>600</v>
      </c>
      <c r="T22" s="9">
        <f>'Wholesale by Country'!T36*'Drivers &amp; Assumptions'!C23</f>
        <v>0</v>
      </c>
      <c r="U22" s="9">
        <f>'Wholesale by Country'!U36*'Drivers &amp; Assumptions'!C23</f>
        <v>0</v>
      </c>
      <c r="V22" s="9">
        <f>'Wholesale by Country'!V36*'Drivers &amp; Assumptions'!C23</f>
        <v>600</v>
      </c>
      <c r="W22" s="9">
        <f>'Wholesale by Country'!W36*'Drivers &amp; Assumptions'!C23</f>
        <v>0</v>
      </c>
      <c r="X22" s="9">
        <f>'Wholesale by Country'!X36*'Drivers &amp; Assumptions'!C23</f>
        <v>0</v>
      </c>
      <c r="Y22" s="9">
        <f>'Wholesale by Country'!Y36*'Drivers &amp; Assumptions'!C23</f>
        <v>600</v>
      </c>
      <c r="Z22" s="9">
        <f>'Wholesale by Country'!Z36*'Drivers &amp; Assumptions'!C23</f>
        <v>0</v>
      </c>
      <c r="AA22" s="9">
        <f>'Wholesale by Country'!AA36*'Drivers &amp; Assumptions'!C23</f>
        <v>0</v>
      </c>
      <c r="AB22" s="9">
        <f>'Wholesale by Country'!AB36*'Drivers &amp; Assumptions'!C23</f>
        <v>800</v>
      </c>
      <c r="AC22" s="9">
        <f>'Wholesale by Country'!AC36*'Drivers &amp; Assumptions'!C23</f>
        <v>0</v>
      </c>
      <c r="AD22" s="9">
        <f>'Wholesale by Country'!AD36*'Drivers &amp; Assumptions'!C23</f>
        <v>0</v>
      </c>
      <c r="AE22" s="9">
        <f>'Wholesale by Country'!AE36*'Drivers &amp; Assumptions'!C23</f>
        <v>800</v>
      </c>
      <c r="AF22" s="9">
        <f>'Wholesale by Country'!AF36*'Drivers &amp; Assumptions'!C23</f>
        <v>0</v>
      </c>
      <c r="AG22" s="9">
        <f>'Wholesale by Country'!AG36*'Drivers &amp; Assumptions'!C23</f>
        <v>0</v>
      </c>
      <c r="AH22" s="9">
        <f>'Wholesale by Country'!AH36*'Drivers &amp; Assumptions'!C23</f>
        <v>800</v>
      </c>
      <c r="AI22" s="9">
        <f>'Wholesale by Country'!AI36*'Drivers &amp; Assumptions'!C23</f>
        <v>0</v>
      </c>
      <c r="AJ22" s="9">
        <f>'Wholesale by Country'!AJ36*'Drivers &amp; Assumptions'!C23</f>
        <v>0</v>
      </c>
      <c r="AK22" s="9">
        <f>'Wholesale by Country'!AK36*'Drivers &amp; Assumptions'!C23</f>
        <v>800</v>
      </c>
      <c r="AL22" s="9">
        <f>'Wholesale by Country'!AL36*'Drivers &amp; Assumptions'!C23</f>
        <v>0</v>
      </c>
      <c r="AM22" s="9">
        <f>'Wholesale by Country'!AM36*'Drivers &amp; Assumptions'!C23</f>
        <v>0</v>
      </c>
      <c r="AN22" s="9">
        <f>'Wholesale by Country'!AN36*'Drivers &amp; Assumptions'!C23</f>
        <v>1000</v>
      </c>
      <c r="AO22" s="9">
        <f>'Wholesale by Country'!AO36*'Drivers &amp; Assumptions'!C23</f>
        <v>0</v>
      </c>
      <c r="AP22" s="9">
        <f>'Wholesale by Country'!AP36*'Drivers &amp; Assumptions'!C23</f>
        <v>0</v>
      </c>
      <c r="AQ22" s="9">
        <f>'Wholesale by Country'!AQ36*'Drivers &amp; Assumptions'!C23</f>
        <v>1000</v>
      </c>
      <c r="AR22" s="9">
        <f>'Wholesale by Country'!AR36*'Drivers &amp; Assumptions'!C23</f>
        <v>0</v>
      </c>
      <c r="AS22" s="9">
        <f>'Wholesale by Country'!AS36*'Drivers &amp; Assumptions'!C23</f>
        <v>0</v>
      </c>
      <c r="AT22" s="9">
        <f>'Wholesale by Country'!AT36*'Drivers &amp; Assumptions'!C23</f>
        <v>1000</v>
      </c>
      <c r="AU22" s="9">
        <f>'Wholesale by Country'!AU36*'Drivers &amp; Assumptions'!C23</f>
        <v>0</v>
      </c>
      <c r="AV22" s="9">
        <f>'Wholesale by Country'!AV36*'Drivers &amp; Assumptions'!C23</f>
        <v>0</v>
      </c>
      <c r="AW22" s="9">
        <f>'Wholesale by Country'!AW36*'Drivers &amp; Assumptions'!C23</f>
        <v>1000</v>
      </c>
      <c r="AX22" s="9">
        <f>'Wholesale by Country'!AX36*'Drivers &amp; Assumptions'!C23</f>
        <v>0</v>
      </c>
      <c r="AY22" s="9">
        <f>'Wholesale by Country'!AY36*'Drivers &amp; Assumptions'!C23</f>
        <v>0</v>
      </c>
      <c r="AZ22" s="9">
        <f>'Wholesale by Country'!AZ36*'Drivers &amp; Assumptions'!C23</f>
        <v>1200</v>
      </c>
      <c r="BA22" s="9">
        <f>'Wholesale by Country'!BA36*'Drivers &amp; Assumptions'!C23</f>
        <v>0</v>
      </c>
      <c r="BB22" s="9">
        <f>'Wholesale by Country'!BB36*'Drivers &amp; Assumptions'!C23</f>
        <v>0</v>
      </c>
      <c r="BC22" s="9">
        <f>'Wholesale by Country'!BC36*'Drivers &amp; Assumptions'!C23</f>
        <v>1200</v>
      </c>
      <c r="BD22" s="9">
        <f>'Wholesale by Country'!BD36*'Drivers &amp; Assumptions'!C23</f>
        <v>0</v>
      </c>
      <c r="BE22" s="9">
        <f>'Wholesale by Country'!BE36*'Drivers &amp; Assumptions'!C23</f>
        <v>0</v>
      </c>
      <c r="BF22" s="9">
        <f>'Wholesale by Country'!BF36*'Drivers &amp; Assumptions'!C23</f>
        <v>1200</v>
      </c>
      <c r="BG22" s="9">
        <f>'Wholesale by Country'!BG36*'Drivers &amp; Assumptions'!C23</f>
        <v>0</v>
      </c>
      <c r="BH22" s="9">
        <f>'Wholesale by Country'!BH36*'Drivers &amp; Assumptions'!C23</f>
        <v>0</v>
      </c>
      <c r="BI22" s="9">
        <f>'Wholesale by Country'!BI36*'Drivers &amp; Assumptions'!C23</f>
        <v>1200</v>
      </c>
    </row>
    <row r="23" spans="1:61" ht="15" customHeight="1" x14ac:dyDescent="0.35">
      <c r="A23" s="7" t="s">
        <v>283</v>
      </c>
      <c r="B23" s="9">
        <f>B8*'Drivers &amp; Assumptions'!C24</f>
        <v>0</v>
      </c>
      <c r="C23" s="9">
        <f>C8*'Drivers &amp; Assumptions'!C24</f>
        <v>0</v>
      </c>
      <c r="D23" s="9">
        <f>D8*'Drivers &amp; Assumptions'!C24</f>
        <v>0</v>
      </c>
      <c r="E23" s="9">
        <f>E8*'Drivers &amp; Assumptions'!C24</f>
        <v>0</v>
      </c>
      <c r="F23" s="9">
        <f>F8*'Drivers &amp; Assumptions'!C24</f>
        <v>0</v>
      </c>
      <c r="G23" s="9">
        <f>G8*'Drivers &amp; Assumptions'!C24</f>
        <v>0</v>
      </c>
      <c r="H23" s="9">
        <f>H8*'Drivers &amp; Assumptions'!C24</f>
        <v>0</v>
      </c>
      <c r="I23" s="9">
        <f>I8*'Drivers &amp; Assumptions'!C24</f>
        <v>0</v>
      </c>
      <c r="J23" s="9">
        <f>J8*'Drivers &amp; Assumptions'!C24</f>
        <v>0</v>
      </c>
      <c r="K23" s="9">
        <f>K8*'Drivers &amp; Assumptions'!C24</f>
        <v>0</v>
      </c>
      <c r="L23" s="9">
        <f>L8*'Drivers &amp; Assumptions'!C24</f>
        <v>0</v>
      </c>
      <c r="M23" s="9">
        <f>M8*'Drivers &amp; Assumptions'!C24</f>
        <v>0</v>
      </c>
      <c r="N23" s="9">
        <f>N8*'Drivers &amp; Assumptions'!C24</f>
        <v>0</v>
      </c>
      <c r="O23" s="9">
        <f>O8*'Drivers &amp; Assumptions'!C24</f>
        <v>0</v>
      </c>
      <c r="P23" s="9">
        <f>P8*'Drivers &amp; Assumptions'!C24</f>
        <v>0</v>
      </c>
      <c r="Q23" s="9">
        <f>Q8*'Drivers &amp; Assumptions'!C24</f>
        <v>0</v>
      </c>
      <c r="R23" s="9">
        <f>R8*'Drivers &amp; Assumptions'!C24</f>
        <v>0</v>
      </c>
      <c r="S23" s="9">
        <f>S8*'Drivers &amp; Assumptions'!C24</f>
        <v>0</v>
      </c>
      <c r="T23" s="9">
        <f>T8*'Drivers &amp; Assumptions'!C24</f>
        <v>0</v>
      </c>
      <c r="U23" s="9">
        <f>U8*'Drivers &amp; Assumptions'!C24</f>
        <v>0</v>
      </c>
      <c r="V23" s="9">
        <f>V8*'Drivers &amp; Assumptions'!C24</f>
        <v>0</v>
      </c>
      <c r="W23" s="9">
        <f>W8*'Drivers &amp; Assumptions'!C24</f>
        <v>0</v>
      </c>
      <c r="X23" s="9">
        <f>X8*'Drivers &amp; Assumptions'!C24</f>
        <v>0</v>
      </c>
      <c r="Y23" s="9">
        <f>Y8*'Drivers &amp; Assumptions'!C24</f>
        <v>0</v>
      </c>
      <c r="Z23" s="9">
        <f>Z8*'Drivers &amp; Assumptions'!C24</f>
        <v>0</v>
      </c>
      <c r="AA23" s="9">
        <f>AA8*'Drivers &amp; Assumptions'!C24</f>
        <v>0</v>
      </c>
      <c r="AB23" s="9">
        <f>AB8*'Drivers &amp; Assumptions'!C24</f>
        <v>0</v>
      </c>
      <c r="AC23" s="9">
        <f>AC8*'Drivers &amp; Assumptions'!C24</f>
        <v>0</v>
      </c>
      <c r="AD23" s="9">
        <f>AD8*'Drivers &amp; Assumptions'!C24</f>
        <v>0</v>
      </c>
      <c r="AE23" s="9">
        <f>AE8*'Drivers &amp; Assumptions'!C24</f>
        <v>0</v>
      </c>
      <c r="AF23" s="9">
        <f>AF8*'Drivers &amp; Assumptions'!C24</f>
        <v>0</v>
      </c>
      <c r="AG23" s="9">
        <f>AG8*'Drivers &amp; Assumptions'!C24</f>
        <v>0</v>
      </c>
      <c r="AH23" s="9">
        <f>AH8*'Drivers &amp; Assumptions'!C24</f>
        <v>0</v>
      </c>
      <c r="AI23" s="9">
        <f>AI8*'Drivers &amp; Assumptions'!C24</f>
        <v>0</v>
      </c>
      <c r="AJ23" s="9">
        <f>AJ8*'Drivers &amp; Assumptions'!C24</f>
        <v>0</v>
      </c>
      <c r="AK23" s="9">
        <f>AK8*'Drivers &amp; Assumptions'!C24</f>
        <v>0</v>
      </c>
      <c r="AL23" s="9">
        <f>AL8*'Drivers &amp; Assumptions'!C24</f>
        <v>0</v>
      </c>
      <c r="AM23" s="9">
        <f>AM8*'Drivers &amp; Assumptions'!C24</f>
        <v>0</v>
      </c>
      <c r="AN23" s="9">
        <f>AN8*'Drivers &amp; Assumptions'!C24</f>
        <v>0</v>
      </c>
      <c r="AO23" s="9">
        <f>AO8*'Drivers &amp; Assumptions'!C24</f>
        <v>0</v>
      </c>
      <c r="AP23" s="9">
        <f>AP8*'Drivers &amp; Assumptions'!C24</f>
        <v>0</v>
      </c>
      <c r="AQ23" s="9">
        <f>AQ8*'Drivers &amp; Assumptions'!C24</f>
        <v>0</v>
      </c>
      <c r="AR23" s="9">
        <f>AR8*'Drivers &amp; Assumptions'!C24</f>
        <v>0</v>
      </c>
      <c r="AS23" s="9">
        <f>AS8*'Drivers &amp; Assumptions'!C24</f>
        <v>0</v>
      </c>
      <c r="AT23" s="9">
        <f>AT8*'Drivers &amp; Assumptions'!C24</f>
        <v>0</v>
      </c>
      <c r="AU23" s="9">
        <f>AU8*'Drivers &amp; Assumptions'!C24</f>
        <v>0</v>
      </c>
      <c r="AV23" s="9">
        <f>AV8*'Drivers &amp; Assumptions'!C24</f>
        <v>0</v>
      </c>
      <c r="AW23" s="9">
        <f>AW8*'Drivers &amp; Assumptions'!C24</f>
        <v>0</v>
      </c>
      <c r="AX23" s="9">
        <f>AX8*'Drivers &amp; Assumptions'!C24</f>
        <v>0</v>
      </c>
      <c r="AY23" s="9">
        <f>AY8*'Drivers &amp; Assumptions'!C24</f>
        <v>0</v>
      </c>
      <c r="AZ23" s="9">
        <f>AZ8*'Drivers &amp; Assumptions'!C24</f>
        <v>0</v>
      </c>
      <c r="BA23" s="9">
        <f>BA8*'Drivers &amp; Assumptions'!C24</f>
        <v>0</v>
      </c>
      <c r="BB23" s="9">
        <f>BB8*'Drivers &amp; Assumptions'!C24</f>
        <v>0</v>
      </c>
      <c r="BC23" s="9">
        <f>BC8*'Drivers &amp; Assumptions'!C24</f>
        <v>0</v>
      </c>
      <c r="BD23" s="9">
        <f>BD8*'Drivers &amp; Assumptions'!C24</f>
        <v>0</v>
      </c>
      <c r="BE23" s="9">
        <f>BE8*'Drivers &amp; Assumptions'!C24</f>
        <v>0</v>
      </c>
      <c r="BF23" s="9">
        <f>BF8*'Drivers &amp; Assumptions'!C24</f>
        <v>0</v>
      </c>
      <c r="BG23" s="9">
        <f>BG8*'Drivers &amp; Assumptions'!C24</f>
        <v>0</v>
      </c>
      <c r="BH23" s="9">
        <f>BH8*'Drivers &amp; Assumptions'!C24</f>
        <v>0</v>
      </c>
      <c r="BI23" s="9">
        <f>BI8*'Drivers &amp; Assumptions'!C24</f>
        <v>0</v>
      </c>
    </row>
    <row r="24" spans="1:61" ht="15" customHeight="1" x14ac:dyDescent="0.35">
      <c r="A24" s="7" t="s">
        <v>284</v>
      </c>
      <c r="B24" s="9">
        <f>B9*'Drivers &amp; Assumptions'!C33</f>
        <v>0</v>
      </c>
      <c r="C24" s="9">
        <f>C9*'Drivers &amp; Assumptions'!C33</f>
        <v>0</v>
      </c>
      <c r="D24" s="9">
        <f>D9*'Drivers &amp; Assumptions'!C33</f>
        <v>0</v>
      </c>
      <c r="E24" s="9">
        <f>E9*'Drivers &amp; Assumptions'!C33</f>
        <v>0</v>
      </c>
      <c r="F24" s="9">
        <f>F9*'Drivers &amp; Assumptions'!C33</f>
        <v>0</v>
      </c>
      <c r="G24" s="9">
        <f>G9*'Drivers &amp; Assumptions'!C33</f>
        <v>0</v>
      </c>
      <c r="H24" s="9">
        <f>H9*'Drivers &amp; Assumptions'!C33</f>
        <v>0</v>
      </c>
      <c r="I24" s="9">
        <f>I9*'Drivers &amp; Assumptions'!C33</f>
        <v>0</v>
      </c>
      <c r="J24" s="9">
        <f>J9*'Drivers &amp; Assumptions'!C33</f>
        <v>0</v>
      </c>
      <c r="K24" s="9">
        <f>K9*'Drivers &amp; Assumptions'!C33</f>
        <v>0</v>
      </c>
      <c r="L24" s="9">
        <f>L9*'Drivers &amp; Assumptions'!C33</f>
        <v>0</v>
      </c>
      <c r="M24" s="9">
        <f>M9*'Drivers &amp; Assumptions'!C33</f>
        <v>0</v>
      </c>
      <c r="N24" s="9">
        <f>N9*'Drivers &amp; Assumptions'!C33</f>
        <v>0</v>
      </c>
      <c r="O24" s="9">
        <f>O9*'Drivers &amp; Assumptions'!C33</f>
        <v>0</v>
      </c>
      <c r="P24" s="9">
        <f>P9*'Drivers &amp; Assumptions'!C33</f>
        <v>0</v>
      </c>
      <c r="Q24" s="9">
        <f>Q9*'Drivers &amp; Assumptions'!C33</f>
        <v>0</v>
      </c>
      <c r="R24" s="9">
        <f>R9*'Drivers &amp; Assumptions'!C33</f>
        <v>0</v>
      </c>
      <c r="S24" s="9">
        <f>S9*'Drivers &amp; Assumptions'!C33</f>
        <v>0</v>
      </c>
      <c r="T24" s="9">
        <f>T9*'Drivers &amp; Assumptions'!C33</f>
        <v>0</v>
      </c>
      <c r="U24" s="9">
        <f>U9*'Drivers &amp; Assumptions'!C33</f>
        <v>0</v>
      </c>
      <c r="V24" s="9">
        <f>V9*'Drivers &amp; Assumptions'!C33</f>
        <v>0</v>
      </c>
      <c r="W24" s="9">
        <f>W9*'Drivers &amp; Assumptions'!C33</f>
        <v>0</v>
      </c>
      <c r="X24" s="9">
        <f>X9*'Drivers &amp; Assumptions'!C33</f>
        <v>0</v>
      </c>
      <c r="Y24" s="9">
        <f>Y9*'Drivers &amp; Assumptions'!C33</f>
        <v>0</v>
      </c>
      <c r="Z24" s="9">
        <f>Z9*'Drivers &amp; Assumptions'!C33</f>
        <v>0</v>
      </c>
      <c r="AA24" s="9">
        <f>AA9*'Drivers &amp; Assumptions'!C33</f>
        <v>0</v>
      </c>
      <c r="AB24" s="9">
        <f>AB9*'Drivers &amp; Assumptions'!C33</f>
        <v>0</v>
      </c>
      <c r="AC24" s="9">
        <f>AC9*'Drivers &amp; Assumptions'!C33</f>
        <v>0</v>
      </c>
      <c r="AD24" s="9">
        <f>AD9*'Drivers &amp; Assumptions'!C33</f>
        <v>0</v>
      </c>
      <c r="AE24" s="9">
        <f>AE9*'Drivers &amp; Assumptions'!C33</f>
        <v>0</v>
      </c>
      <c r="AF24" s="9">
        <f>AF9*'Drivers &amp; Assumptions'!C33</f>
        <v>0</v>
      </c>
      <c r="AG24" s="9">
        <f>AG9*'Drivers &amp; Assumptions'!C33</f>
        <v>0</v>
      </c>
      <c r="AH24" s="9">
        <f>AH9*'Drivers &amp; Assumptions'!C33</f>
        <v>0</v>
      </c>
      <c r="AI24" s="9">
        <f>AI9*'Drivers &amp; Assumptions'!C33</f>
        <v>0</v>
      </c>
      <c r="AJ24" s="9">
        <f>AJ9*'Drivers &amp; Assumptions'!C33</f>
        <v>0</v>
      </c>
      <c r="AK24" s="9">
        <f>AK9*'Drivers &amp; Assumptions'!C33</f>
        <v>0</v>
      </c>
      <c r="AL24" s="9">
        <f>AL9*'Drivers &amp; Assumptions'!C33</f>
        <v>1512</v>
      </c>
      <c r="AM24" s="9">
        <f>AM9*'Drivers &amp; Assumptions'!C33</f>
        <v>1889.9999999999998</v>
      </c>
      <c r="AN24" s="9">
        <f>AN9*'Drivers &amp; Assumptions'!C33</f>
        <v>2268</v>
      </c>
      <c r="AO24" s="9">
        <f>AO9*'Drivers &amp; Assumptions'!C33</f>
        <v>2646</v>
      </c>
      <c r="AP24" s="9">
        <f>AP9*'Drivers &amp; Assumptions'!C33</f>
        <v>3024</v>
      </c>
      <c r="AQ24" s="9">
        <f>AQ9*'Drivers &amp; Assumptions'!C33</f>
        <v>3401.9999999999995</v>
      </c>
      <c r="AR24" s="9">
        <f>AR9*'Drivers &amp; Assumptions'!C33</f>
        <v>3779.9999999999995</v>
      </c>
      <c r="AS24" s="9">
        <f>AS9*'Drivers &amp; Assumptions'!C33</f>
        <v>4158</v>
      </c>
      <c r="AT24" s="9">
        <f>AT9*'Drivers &amp; Assumptions'!C33</f>
        <v>4536</v>
      </c>
      <c r="AU24" s="9">
        <f>AU9*'Drivers &amp; Assumptions'!C33</f>
        <v>4914</v>
      </c>
      <c r="AV24" s="9">
        <f>AV9*'Drivers &amp; Assumptions'!C33</f>
        <v>5292</v>
      </c>
      <c r="AW24" s="9">
        <f>AW9*'Drivers &amp; Assumptions'!C33</f>
        <v>5670</v>
      </c>
      <c r="AX24" s="9">
        <f>AX9*'Drivers &amp; Assumptions'!C33</f>
        <v>6803.9999999999991</v>
      </c>
      <c r="AY24" s="9">
        <f>AY9*'Drivers &amp; Assumptions'!C33</f>
        <v>7229.2499999999991</v>
      </c>
      <c r="AZ24" s="9">
        <f>AZ9*'Drivers &amp; Assumptions'!C33</f>
        <v>7654.4999999999991</v>
      </c>
      <c r="BA24" s="9">
        <f>BA9*'Drivers &amp; Assumptions'!C33</f>
        <v>8079.7499999999991</v>
      </c>
      <c r="BB24" s="9">
        <f>BB9*'Drivers &amp; Assumptions'!C33</f>
        <v>8505</v>
      </c>
      <c r="BC24" s="9">
        <f>BC9*'Drivers &amp; Assumptions'!C33</f>
        <v>8930.25</v>
      </c>
      <c r="BD24" s="9">
        <f>BD9*'Drivers &amp; Assumptions'!C33</f>
        <v>9355.5</v>
      </c>
      <c r="BE24" s="9">
        <f>BE9*'Drivers &amp; Assumptions'!C33</f>
        <v>9780.75</v>
      </c>
      <c r="BF24" s="9">
        <f>BF9*'Drivers &amp; Assumptions'!C33</f>
        <v>10206</v>
      </c>
      <c r="BG24" s="9">
        <f>BG9*'Drivers &amp; Assumptions'!C33</f>
        <v>10631.25</v>
      </c>
      <c r="BH24" s="9">
        <f>BH9*'Drivers &amp; Assumptions'!C33</f>
        <v>11056.5</v>
      </c>
      <c r="BI24" s="9">
        <f>BI9*'Drivers &amp; Assumptions'!C33</f>
        <v>11481.75</v>
      </c>
    </row>
    <row r="25" spans="1:61" ht="15" customHeight="1" x14ac:dyDescent="0.35">
      <c r="A25" s="7" t="s">
        <v>285</v>
      </c>
      <c r="B25" s="9">
        <f>'Retail Revenue'!B15*'Drivers &amp; Assumptions'!C34</f>
        <v>0</v>
      </c>
      <c r="C25" s="9">
        <f>'Retail Revenue'!C15*'Drivers &amp; Assumptions'!C34</f>
        <v>0</v>
      </c>
      <c r="D25" s="9">
        <f>'Retail Revenue'!D15*'Drivers &amp; Assumptions'!C34</f>
        <v>0</v>
      </c>
      <c r="E25" s="9">
        <f>'Retail Revenue'!E15*'Drivers &amp; Assumptions'!C34</f>
        <v>0</v>
      </c>
      <c r="F25" s="9">
        <f>'Retail Revenue'!F15*'Drivers &amp; Assumptions'!C34</f>
        <v>0</v>
      </c>
      <c r="G25" s="9">
        <f>'Retail Revenue'!G15*'Drivers &amp; Assumptions'!C34</f>
        <v>0</v>
      </c>
      <c r="H25" s="9">
        <f>'Retail Revenue'!H15*'Drivers &amp; Assumptions'!C34</f>
        <v>0</v>
      </c>
      <c r="I25" s="9">
        <f>'Retail Revenue'!I15*'Drivers &amp; Assumptions'!C34</f>
        <v>0</v>
      </c>
      <c r="J25" s="9">
        <f>'Retail Revenue'!J15*'Drivers &amp; Assumptions'!C34</f>
        <v>0</v>
      </c>
      <c r="K25" s="9">
        <f>'Retail Revenue'!K15*'Drivers &amp; Assumptions'!C34</f>
        <v>0</v>
      </c>
      <c r="L25" s="9">
        <f>'Retail Revenue'!L15*'Drivers &amp; Assumptions'!C34</f>
        <v>0</v>
      </c>
      <c r="M25" s="9">
        <f>'Retail Revenue'!M15*'Drivers &amp; Assumptions'!C34</f>
        <v>0</v>
      </c>
      <c r="N25" s="9">
        <f>'Retail Revenue'!N15*'Drivers &amp; Assumptions'!C34</f>
        <v>0</v>
      </c>
      <c r="O25" s="9">
        <f>'Retail Revenue'!O15*'Drivers &amp; Assumptions'!C34</f>
        <v>0</v>
      </c>
      <c r="P25" s="9">
        <f>'Retail Revenue'!P15*'Drivers &amp; Assumptions'!C34</f>
        <v>0</v>
      </c>
      <c r="Q25" s="9">
        <f>'Retail Revenue'!Q15*'Drivers &amp; Assumptions'!C34</f>
        <v>0</v>
      </c>
      <c r="R25" s="9">
        <f>'Retail Revenue'!R15*'Drivers &amp; Assumptions'!C34</f>
        <v>0</v>
      </c>
      <c r="S25" s="9">
        <f>'Retail Revenue'!S15*'Drivers &amp; Assumptions'!C34</f>
        <v>0</v>
      </c>
      <c r="T25" s="9">
        <f>'Retail Revenue'!T15*'Drivers &amp; Assumptions'!C34</f>
        <v>0</v>
      </c>
      <c r="U25" s="9">
        <f>'Retail Revenue'!U15*'Drivers &amp; Assumptions'!C34</f>
        <v>0</v>
      </c>
      <c r="V25" s="9">
        <f>'Retail Revenue'!V15*'Drivers &amp; Assumptions'!C34</f>
        <v>0</v>
      </c>
      <c r="W25" s="9">
        <f>'Retail Revenue'!W15*'Drivers &amp; Assumptions'!C34</f>
        <v>0</v>
      </c>
      <c r="X25" s="9">
        <f>'Retail Revenue'!X15*'Drivers &amp; Assumptions'!C34</f>
        <v>0</v>
      </c>
      <c r="Y25" s="9">
        <f>'Retail Revenue'!Y15*'Drivers &amp; Assumptions'!C34</f>
        <v>0</v>
      </c>
      <c r="Z25" s="9">
        <f>'Retail Revenue'!Z15*'Drivers &amp; Assumptions'!C34</f>
        <v>0</v>
      </c>
      <c r="AA25" s="9">
        <f>'Retail Revenue'!AA15*'Drivers &amp; Assumptions'!C34</f>
        <v>0</v>
      </c>
      <c r="AB25" s="9">
        <f>'Retail Revenue'!AB15*'Drivers &amp; Assumptions'!C34</f>
        <v>0</v>
      </c>
      <c r="AC25" s="9">
        <f>'Retail Revenue'!AC15*'Drivers &amp; Assumptions'!C34</f>
        <v>0</v>
      </c>
      <c r="AD25" s="9">
        <f>'Retail Revenue'!AD15*'Drivers &amp; Assumptions'!C34</f>
        <v>0</v>
      </c>
      <c r="AE25" s="9">
        <f>'Retail Revenue'!AE15*'Drivers &amp; Assumptions'!C34</f>
        <v>0</v>
      </c>
      <c r="AF25" s="9">
        <f>'Retail Revenue'!AF15*'Drivers &amp; Assumptions'!C34</f>
        <v>0</v>
      </c>
      <c r="AG25" s="9">
        <f>'Retail Revenue'!AG15*'Drivers &amp; Assumptions'!C34</f>
        <v>0</v>
      </c>
      <c r="AH25" s="9">
        <f>'Retail Revenue'!AH15*'Drivers &amp; Assumptions'!C34</f>
        <v>0</v>
      </c>
      <c r="AI25" s="9">
        <f>'Retail Revenue'!AI15*'Drivers &amp; Assumptions'!C34</f>
        <v>0</v>
      </c>
      <c r="AJ25" s="9">
        <f>'Retail Revenue'!AJ15*'Drivers &amp; Assumptions'!C34</f>
        <v>0</v>
      </c>
      <c r="AK25" s="9">
        <f>'Retail Revenue'!AK15*'Drivers &amp; Assumptions'!C34</f>
        <v>0</v>
      </c>
      <c r="AL25" s="9">
        <f>'Retail Revenue'!AL15*'Drivers &amp; Assumptions'!C34</f>
        <v>84</v>
      </c>
      <c r="AM25" s="9">
        <f>'Retail Revenue'!AM15*'Drivers &amp; Assumptions'!C34</f>
        <v>102</v>
      </c>
      <c r="AN25" s="9">
        <f>'Retail Revenue'!AN15*'Drivers &amp; Assumptions'!C34</f>
        <v>120</v>
      </c>
      <c r="AO25" s="9">
        <f>'Retail Revenue'!AO15*'Drivers &amp; Assumptions'!C34</f>
        <v>144</v>
      </c>
      <c r="AP25" s="9">
        <f>'Retail Revenue'!AP15*'Drivers &amp; Assumptions'!C34</f>
        <v>162</v>
      </c>
      <c r="AQ25" s="9">
        <f>'Retail Revenue'!AQ15*'Drivers &amp; Assumptions'!C34</f>
        <v>180</v>
      </c>
      <c r="AR25" s="9">
        <f>'Retail Revenue'!AR15*'Drivers &amp; Assumptions'!C34</f>
        <v>204</v>
      </c>
      <c r="AS25" s="9">
        <f>'Retail Revenue'!AS15*'Drivers &amp; Assumptions'!C34</f>
        <v>222</v>
      </c>
      <c r="AT25" s="9">
        <f>'Retail Revenue'!AT15*'Drivers &amp; Assumptions'!C34</f>
        <v>240</v>
      </c>
      <c r="AU25" s="9">
        <f>'Retail Revenue'!AU15*'Drivers &amp; Assumptions'!C34</f>
        <v>264</v>
      </c>
      <c r="AV25" s="9">
        <f>'Retail Revenue'!AV15*'Drivers &amp; Assumptions'!C34</f>
        <v>282</v>
      </c>
      <c r="AW25" s="9">
        <f>'Retail Revenue'!AW15*'Drivers &amp; Assumptions'!C34</f>
        <v>300</v>
      </c>
      <c r="AX25" s="9">
        <f>'Retail Revenue'!AX15*'Drivers &amp; Assumptions'!C34</f>
        <v>360</v>
      </c>
      <c r="AY25" s="9">
        <f>'Retail Revenue'!AY15*'Drivers &amp; Assumptions'!C34</f>
        <v>384</v>
      </c>
      <c r="AZ25" s="9">
        <f>'Retail Revenue'!AZ15*'Drivers &amp; Assumptions'!C34</f>
        <v>408</v>
      </c>
      <c r="BA25" s="9">
        <f>'Retail Revenue'!BA15*'Drivers &amp; Assumptions'!C34</f>
        <v>432</v>
      </c>
      <c r="BB25" s="9">
        <f>'Retail Revenue'!BB15*'Drivers &amp; Assumptions'!C34</f>
        <v>450</v>
      </c>
      <c r="BC25" s="9">
        <f>'Retail Revenue'!BC15*'Drivers &amp; Assumptions'!C34</f>
        <v>474</v>
      </c>
      <c r="BD25" s="9">
        <f>'Retail Revenue'!BD15*'Drivers &amp; Assumptions'!C34</f>
        <v>498</v>
      </c>
      <c r="BE25" s="9">
        <f>'Retail Revenue'!BE15*'Drivers &amp; Assumptions'!C34</f>
        <v>522</v>
      </c>
      <c r="BF25" s="9">
        <f>'Retail Revenue'!BF15*'Drivers &amp; Assumptions'!C34</f>
        <v>540</v>
      </c>
      <c r="BG25" s="9">
        <f>'Retail Revenue'!BG15*'Drivers &amp; Assumptions'!C34</f>
        <v>564</v>
      </c>
      <c r="BH25" s="9">
        <f>'Retail Revenue'!BH15*'Drivers &amp; Assumptions'!C34</f>
        <v>588</v>
      </c>
      <c r="BI25" s="9">
        <f>'Retail Revenue'!BI15*'Drivers &amp; Assumptions'!C34</f>
        <v>612</v>
      </c>
    </row>
    <row r="26" spans="1:61" ht="15" customHeight="1" x14ac:dyDescent="0.35">
      <c r="A26" s="7" t="s">
        <v>286</v>
      </c>
      <c r="B26" s="9">
        <f>B9*'Drivers &amp; Assumptions'!C35</f>
        <v>0</v>
      </c>
      <c r="C26" s="9">
        <f>C9*'Drivers &amp; Assumptions'!C35</f>
        <v>0</v>
      </c>
      <c r="D26" s="9">
        <f>D9*'Drivers &amp; Assumptions'!C35</f>
        <v>0</v>
      </c>
      <c r="E26" s="9">
        <f>E9*'Drivers &amp; Assumptions'!C35</f>
        <v>0</v>
      </c>
      <c r="F26" s="9">
        <f>F9*'Drivers &amp; Assumptions'!C35</f>
        <v>0</v>
      </c>
      <c r="G26" s="9">
        <f>G9*'Drivers &amp; Assumptions'!C35</f>
        <v>0</v>
      </c>
      <c r="H26" s="9">
        <f>H9*'Drivers &amp; Assumptions'!C35</f>
        <v>0</v>
      </c>
      <c r="I26" s="9">
        <f>I9*'Drivers &amp; Assumptions'!C35</f>
        <v>0</v>
      </c>
      <c r="J26" s="9">
        <f>J9*'Drivers &amp; Assumptions'!C35</f>
        <v>0</v>
      </c>
      <c r="K26" s="9">
        <f>K9*'Drivers &amp; Assumptions'!C35</f>
        <v>0</v>
      </c>
      <c r="L26" s="9">
        <f>L9*'Drivers &amp; Assumptions'!C35</f>
        <v>0</v>
      </c>
      <c r="M26" s="9">
        <f>M9*'Drivers &amp; Assumptions'!C35</f>
        <v>0</v>
      </c>
      <c r="N26" s="9">
        <f>N9*'Drivers &amp; Assumptions'!C35</f>
        <v>0</v>
      </c>
      <c r="O26" s="9">
        <f>O9*'Drivers &amp; Assumptions'!C35</f>
        <v>0</v>
      </c>
      <c r="P26" s="9">
        <f>P9*'Drivers &amp; Assumptions'!C35</f>
        <v>0</v>
      </c>
      <c r="Q26" s="9">
        <f>Q9*'Drivers &amp; Assumptions'!C35</f>
        <v>0</v>
      </c>
      <c r="R26" s="9">
        <f>R9*'Drivers &amp; Assumptions'!C35</f>
        <v>0</v>
      </c>
      <c r="S26" s="9">
        <f>S9*'Drivers &amp; Assumptions'!C35</f>
        <v>0</v>
      </c>
      <c r="T26" s="9">
        <f>T9*'Drivers &amp; Assumptions'!C35</f>
        <v>0</v>
      </c>
      <c r="U26" s="9">
        <f>U9*'Drivers &amp; Assumptions'!C35</f>
        <v>0</v>
      </c>
      <c r="V26" s="9">
        <f>V9*'Drivers &amp; Assumptions'!C35</f>
        <v>0</v>
      </c>
      <c r="W26" s="9">
        <f>W9*'Drivers &amp; Assumptions'!C35</f>
        <v>0</v>
      </c>
      <c r="X26" s="9">
        <f>X9*'Drivers &amp; Assumptions'!C35</f>
        <v>0</v>
      </c>
      <c r="Y26" s="9">
        <f>Y9*'Drivers &amp; Assumptions'!C35</f>
        <v>0</v>
      </c>
      <c r="Z26" s="9">
        <f>Z9*'Drivers &amp; Assumptions'!C35</f>
        <v>0</v>
      </c>
      <c r="AA26" s="9">
        <f>AA9*'Drivers &amp; Assumptions'!C35</f>
        <v>0</v>
      </c>
      <c r="AB26" s="9">
        <f>AB9*'Drivers &amp; Assumptions'!C35</f>
        <v>0</v>
      </c>
      <c r="AC26" s="9">
        <f>AC9*'Drivers &amp; Assumptions'!C35</f>
        <v>0</v>
      </c>
      <c r="AD26" s="9">
        <f>AD9*'Drivers &amp; Assumptions'!C35</f>
        <v>0</v>
      </c>
      <c r="AE26" s="9">
        <f>AE9*'Drivers &amp; Assumptions'!C35</f>
        <v>0</v>
      </c>
      <c r="AF26" s="9">
        <f>AF9*'Drivers &amp; Assumptions'!C35</f>
        <v>0</v>
      </c>
      <c r="AG26" s="9">
        <f>AG9*'Drivers &amp; Assumptions'!C35</f>
        <v>0</v>
      </c>
      <c r="AH26" s="9">
        <f>AH9*'Drivers &amp; Assumptions'!C35</f>
        <v>0</v>
      </c>
      <c r="AI26" s="9">
        <f>AI9*'Drivers &amp; Assumptions'!C35</f>
        <v>0</v>
      </c>
      <c r="AJ26" s="9">
        <f>AJ9*'Drivers &amp; Assumptions'!C35</f>
        <v>0</v>
      </c>
      <c r="AK26" s="9">
        <f>AK9*'Drivers &amp; Assumptions'!C35</f>
        <v>0</v>
      </c>
      <c r="AL26" s="9">
        <f>AL9*'Drivers &amp; Assumptions'!C35</f>
        <v>0</v>
      </c>
      <c r="AM26" s="9">
        <f>AM9*'Drivers &amp; Assumptions'!C35</f>
        <v>0</v>
      </c>
      <c r="AN26" s="9">
        <f>AN9*'Drivers &amp; Assumptions'!C35</f>
        <v>0</v>
      </c>
      <c r="AO26" s="9">
        <f>AO9*'Drivers &amp; Assumptions'!C35</f>
        <v>0</v>
      </c>
      <c r="AP26" s="9">
        <f>AP9*'Drivers &amp; Assumptions'!C35</f>
        <v>0</v>
      </c>
      <c r="AQ26" s="9">
        <f>AQ9*'Drivers &amp; Assumptions'!C35</f>
        <v>0</v>
      </c>
      <c r="AR26" s="9">
        <f>AR9*'Drivers &amp; Assumptions'!C35</f>
        <v>0</v>
      </c>
      <c r="AS26" s="9">
        <f>AS9*'Drivers &amp; Assumptions'!C35</f>
        <v>0</v>
      </c>
      <c r="AT26" s="9">
        <f>AT9*'Drivers &amp; Assumptions'!C35</f>
        <v>0</v>
      </c>
      <c r="AU26" s="9">
        <f>AU9*'Drivers &amp; Assumptions'!C35</f>
        <v>0</v>
      </c>
      <c r="AV26" s="9">
        <f>AV9*'Drivers &amp; Assumptions'!C35</f>
        <v>0</v>
      </c>
      <c r="AW26" s="9">
        <f>AW9*'Drivers &amp; Assumptions'!C35</f>
        <v>0</v>
      </c>
      <c r="AX26" s="9">
        <f>AX9*'Drivers &amp; Assumptions'!C35</f>
        <v>0</v>
      </c>
      <c r="AY26" s="9">
        <f>AY9*'Drivers &amp; Assumptions'!C35</f>
        <v>0</v>
      </c>
      <c r="AZ26" s="9">
        <f>AZ9*'Drivers &amp; Assumptions'!C35</f>
        <v>0</v>
      </c>
      <c r="BA26" s="9">
        <f>BA9*'Drivers &amp; Assumptions'!C35</f>
        <v>0</v>
      </c>
      <c r="BB26" s="9">
        <f>BB9*'Drivers &amp; Assumptions'!C35</f>
        <v>0</v>
      </c>
      <c r="BC26" s="9">
        <f>BC9*'Drivers &amp; Assumptions'!C35</f>
        <v>0</v>
      </c>
      <c r="BD26" s="9">
        <f>BD9*'Drivers &amp; Assumptions'!C35</f>
        <v>0</v>
      </c>
      <c r="BE26" s="9">
        <f>BE9*'Drivers &amp; Assumptions'!C35</f>
        <v>0</v>
      </c>
      <c r="BF26" s="9">
        <f>BF9*'Drivers &amp; Assumptions'!C35</f>
        <v>0</v>
      </c>
      <c r="BG26" s="9">
        <f>BG9*'Drivers &amp; Assumptions'!C35</f>
        <v>0</v>
      </c>
      <c r="BH26" s="9">
        <f>BH9*'Drivers &amp; Assumptions'!C35</f>
        <v>0</v>
      </c>
      <c r="BI26" s="9">
        <f>BI9*'Drivers &amp; Assumptions'!C35</f>
        <v>0</v>
      </c>
    </row>
    <row r="28" spans="1:61" ht="15" customHeight="1" x14ac:dyDescent="0.35">
      <c r="A28" s="10" t="s">
        <v>287</v>
      </c>
      <c r="B28" s="30">
        <f t="shared" ref="B28:AG28" si="8">B18+B21+B24</f>
        <v>11947</v>
      </c>
      <c r="C28" s="30">
        <f t="shared" si="8"/>
        <v>19701.75</v>
      </c>
      <c r="D28" s="30">
        <f t="shared" si="8"/>
        <v>27636.25</v>
      </c>
      <c r="E28" s="30">
        <f t="shared" si="8"/>
        <v>15648.25</v>
      </c>
      <c r="F28" s="30">
        <f t="shared" si="8"/>
        <v>20054.5</v>
      </c>
      <c r="G28" s="30">
        <f t="shared" si="8"/>
        <v>16373.25</v>
      </c>
      <c r="H28" s="30">
        <f t="shared" si="8"/>
        <v>15989.5</v>
      </c>
      <c r="I28" s="30">
        <f t="shared" si="8"/>
        <v>49837.75</v>
      </c>
      <c r="J28" s="30">
        <f t="shared" si="8"/>
        <v>23840</v>
      </c>
      <c r="K28" s="30">
        <f t="shared" si="8"/>
        <v>10930.5</v>
      </c>
      <c r="L28" s="30">
        <f t="shared" si="8"/>
        <v>22743</v>
      </c>
      <c r="M28" s="30">
        <f t="shared" si="8"/>
        <v>40918.5</v>
      </c>
      <c r="N28" s="30">
        <f t="shared" si="8"/>
        <v>36225</v>
      </c>
      <c r="O28" s="30">
        <f t="shared" si="8"/>
        <v>42777</v>
      </c>
      <c r="P28" s="30">
        <f t="shared" si="8"/>
        <v>62779.5</v>
      </c>
      <c r="Q28" s="30">
        <f t="shared" si="8"/>
        <v>55534.5</v>
      </c>
      <c r="R28" s="30">
        <f t="shared" si="8"/>
        <v>61866</v>
      </c>
      <c r="S28" s="30">
        <f t="shared" si="8"/>
        <v>81805.5</v>
      </c>
      <c r="T28" s="30">
        <f t="shared" si="8"/>
        <v>74623.5</v>
      </c>
      <c r="U28" s="30">
        <f t="shared" si="8"/>
        <v>81018</v>
      </c>
      <c r="V28" s="30">
        <f t="shared" si="8"/>
        <v>101178</v>
      </c>
      <c r="W28" s="30">
        <f t="shared" si="8"/>
        <v>94216.5</v>
      </c>
      <c r="X28" s="30">
        <f t="shared" si="8"/>
        <v>101020.5</v>
      </c>
      <c r="Y28" s="30">
        <f t="shared" si="8"/>
        <v>121621.5</v>
      </c>
      <c r="Z28" s="30">
        <f t="shared" si="8"/>
        <v>115164</v>
      </c>
      <c r="AA28" s="30">
        <f t="shared" si="8"/>
        <v>122535</v>
      </c>
      <c r="AB28" s="30">
        <f t="shared" si="8"/>
        <v>148333.5</v>
      </c>
      <c r="AC28" s="30">
        <f t="shared" si="8"/>
        <v>138096</v>
      </c>
      <c r="AD28" s="30">
        <f t="shared" si="8"/>
        <v>146317.5</v>
      </c>
      <c r="AE28" s="30">
        <f t="shared" si="8"/>
        <v>173029.5</v>
      </c>
      <c r="AF28" s="30">
        <f t="shared" si="8"/>
        <v>163768.5</v>
      </c>
      <c r="AG28" s="30">
        <f t="shared" si="8"/>
        <v>173061</v>
      </c>
      <c r="AH28" s="30">
        <f t="shared" ref="AH28:BI28" si="9">AH18+AH21+AH24</f>
        <v>200875.5</v>
      </c>
      <c r="AI28" s="30">
        <f t="shared" si="9"/>
        <v>192843</v>
      </c>
      <c r="AJ28" s="30">
        <f t="shared" si="9"/>
        <v>203364</v>
      </c>
      <c r="AK28" s="30">
        <f t="shared" si="9"/>
        <v>232533</v>
      </c>
      <c r="AL28" s="30">
        <f t="shared" si="9"/>
        <v>227430</v>
      </c>
      <c r="AM28" s="30">
        <f t="shared" si="9"/>
        <v>239904</v>
      </c>
      <c r="AN28" s="30">
        <f t="shared" si="9"/>
        <v>275625</v>
      </c>
      <c r="AO28" s="30">
        <f t="shared" si="9"/>
        <v>266553</v>
      </c>
      <c r="AP28" s="30">
        <f t="shared" si="9"/>
        <v>280791</v>
      </c>
      <c r="AQ28" s="30">
        <f t="shared" si="9"/>
        <v>318402</v>
      </c>
      <c r="AR28" s="30">
        <f t="shared" si="9"/>
        <v>311377.5</v>
      </c>
      <c r="AS28" s="30">
        <f t="shared" si="9"/>
        <v>327757.5</v>
      </c>
      <c r="AT28" s="30">
        <f t="shared" si="9"/>
        <v>367573.5</v>
      </c>
      <c r="AU28" s="30">
        <f t="shared" si="9"/>
        <v>362880</v>
      </c>
      <c r="AV28" s="30">
        <f t="shared" si="9"/>
        <v>381748.5</v>
      </c>
      <c r="AW28" s="30">
        <f t="shared" si="9"/>
        <v>424147.5</v>
      </c>
      <c r="AX28" s="30">
        <f t="shared" si="9"/>
        <v>422919</v>
      </c>
      <c r="AY28" s="30">
        <f t="shared" si="9"/>
        <v>444732.75</v>
      </c>
      <c r="AZ28" s="30">
        <f t="shared" si="9"/>
        <v>494739</v>
      </c>
      <c r="BA28" s="30">
        <f t="shared" si="9"/>
        <v>491478.75</v>
      </c>
      <c r="BB28" s="30">
        <f t="shared" si="9"/>
        <v>516568.5</v>
      </c>
      <c r="BC28" s="30">
        <f t="shared" si="9"/>
        <v>570165.75</v>
      </c>
      <c r="BD28" s="30">
        <f t="shared" si="9"/>
        <v>570559.5</v>
      </c>
      <c r="BE28" s="30">
        <f t="shared" si="9"/>
        <v>599523.75</v>
      </c>
      <c r="BF28" s="30">
        <f t="shared" si="9"/>
        <v>657121.5</v>
      </c>
      <c r="BG28" s="30">
        <f t="shared" si="9"/>
        <v>661799.25</v>
      </c>
      <c r="BH28" s="30">
        <f t="shared" si="9"/>
        <v>695268</v>
      </c>
      <c r="BI28" s="30">
        <f t="shared" si="9"/>
        <v>757590.75</v>
      </c>
    </row>
    <row r="29" spans="1:61" ht="15" customHeight="1" x14ac:dyDescent="0.35">
      <c r="A29" s="10" t="s">
        <v>288</v>
      </c>
      <c r="B29" s="30">
        <f t="shared" ref="B29:AG29" si="10">B19+B22+B25</f>
        <v>3612</v>
      </c>
      <c r="C29" s="30">
        <f t="shared" si="10"/>
        <v>5844</v>
      </c>
      <c r="D29" s="30">
        <f t="shared" si="10"/>
        <v>10368</v>
      </c>
      <c r="E29" s="30">
        <f t="shared" si="10"/>
        <v>5484</v>
      </c>
      <c r="F29" s="30">
        <f t="shared" si="10"/>
        <v>6780</v>
      </c>
      <c r="G29" s="30">
        <f t="shared" si="10"/>
        <v>5880</v>
      </c>
      <c r="H29" s="30">
        <f t="shared" si="10"/>
        <v>5916</v>
      </c>
      <c r="I29" s="30">
        <f t="shared" si="10"/>
        <v>17280</v>
      </c>
      <c r="J29" s="30">
        <f t="shared" si="10"/>
        <v>1304</v>
      </c>
      <c r="K29" s="30">
        <f t="shared" si="10"/>
        <v>4164</v>
      </c>
      <c r="L29" s="30">
        <f t="shared" si="10"/>
        <v>8664</v>
      </c>
      <c r="M29" s="30">
        <f t="shared" si="10"/>
        <v>11768</v>
      </c>
      <c r="N29" s="30">
        <f t="shared" si="10"/>
        <v>13800</v>
      </c>
      <c r="O29" s="30">
        <f t="shared" si="10"/>
        <v>16296</v>
      </c>
      <c r="P29" s="30">
        <f t="shared" si="10"/>
        <v>19332</v>
      </c>
      <c r="Q29" s="30">
        <f t="shared" si="10"/>
        <v>21156</v>
      </c>
      <c r="R29" s="30">
        <f t="shared" si="10"/>
        <v>23568</v>
      </c>
      <c r="S29" s="30">
        <f t="shared" si="10"/>
        <v>26580</v>
      </c>
      <c r="T29" s="30">
        <f t="shared" si="10"/>
        <v>28428</v>
      </c>
      <c r="U29" s="30">
        <f t="shared" si="10"/>
        <v>30864</v>
      </c>
      <c r="V29" s="30">
        <f t="shared" si="10"/>
        <v>33960</v>
      </c>
      <c r="W29" s="30">
        <f t="shared" si="10"/>
        <v>35892</v>
      </c>
      <c r="X29" s="30">
        <f t="shared" si="10"/>
        <v>38484</v>
      </c>
      <c r="Y29" s="30">
        <f t="shared" si="10"/>
        <v>41748</v>
      </c>
      <c r="Z29" s="30">
        <f t="shared" si="10"/>
        <v>43872</v>
      </c>
      <c r="AA29" s="30">
        <f t="shared" si="10"/>
        <v>46680</v>
      </c>
      <c r="AB29" s="30">
        <f t="shared" si="10"/>
        <v>50396</v>
      </c>
      <c r="AC29" s="30">
        <f t="shared" si="10"/>
        <v>52608</v>
      </c>
      <c r="AD29" s="30">
        <f t="shared" si="10"/>
        <v>55740</v>
      </c>
      <c r="AE29" s="30">
        <f t="shared" si="10"/>
        <v>59804</v>
      </c>
      <c r="AF29" s="30">
        <f t="shared" si="10"/>
        <v>62388</v>
      </c>
      <c r="AG29" s="30">
        <f t="shared" si="10"/>
        <v>65928</v>
      </c>
      <c r="AH29" s="30">
        <f t="shared" ref="AH29:BI29" si="11">AH19+AH22+AH25</f>
        <v>70412</v>
      </c>
      <c r="AI29" s="30">
        <f t="shared" si="11"/>
        <v>73464</v>
      </c>
      <c r="AJ29" s="30">
        <f t="shared" si="11"/>
        <v>77472</v>
      </c>
      <c r="AK29" s="30">
        <f t="shared" si="11"/>
        <v>82472</v>
      </c>
      <c r="AL29" s="30">
        <f t="shared" si="11"/>
        <v>86148</v>
      </c>
      <c r="AM29" s="30">
        <f t="shared" si="11"/>
        <v>90774</v>
      </c>
      <c r="AN29" s="30">
        <f t="shared" si="11"/>
        <v>96616</v>
      </c>
      <c r="AO29" s="30">
        <f t="shared" si="11"/>
        <v>100680</v>
      </c>
      <c r="AP29" s="30">
        <f t="shared" si="11"/>
        <v>105978</v>
      </c>
      <c r="AQ29" s="30">
        <f t="shared" si="11"/>
        <v>112540</v>
      </c>
      <c r="AR29" s="30">
        <f t="shared" si="11"/>
        <v>117384</v>
      </c>
      <c r="AS29" s="30">
        <f t="shared" si="11"/>
        <v>123498</v>
      </c>
      <c r="AT29" s="30">
        <f t="shared" si="11"/>
        <v>130900</v>
      </c>
      <c r="AU29" s="30">
        <f t="shared" si="11"/>
        <v>136632</v>
      </c>
      <c r="AV29" s="30">
        <f t="shared" si="11"/>
        <v>143694</v>
      </c>
      <c r="AW29" s="30">
        <f t="shared" si="11"/>
        <v>152080</v>
      </c>
      <c r="AX29" s="30">
        <f t="shared" si="11"/>
        <v>158880</v>
      </c>
      <c r="AY29" s="30">
        <f t="shared" si="11"/>
        <v>167052</v>
      </c>
      <c r="AZ29" s="30">
        <f t="shared" si="11"/>
        <v>176796</v>
      </c>
      <c r="BA29" s="30">
        <f t="shared" si="11"/>
        <v>184584</v>
      </c>
      <c r="BB29" s="30">
        <f t="shared" si="11"/>
        <v>193998</v>
      </c>
      <c r="BC29" s="30">
        <f t="shared" si="11"/>
        <v>205110</v>
      </c>
      <c r="BD29" s="30">
        <f t="shared" si="11"/>
        <v>214290</v>
      </c>
      <c r="BE29" s="30">
        <f t="shared" si="11"/>
        <v>225186</v>
      </c>
      <c r="BF29" s="30">
        <f t="shared" si="11"/>
        <v>237816</v>
      </c>
      <c r="BG29" s="30">
        <f t="shared" si="11"/>
        <v>248628</v>
      </c>
      <c r="BH29" s="30">
        <f t="shared" si="11"/>
        <v>261240</v>
      </c>
      <c r="BI29" s="30">
        <f t="shared" si="11"/>
        <v>275676</v>
      </c>
    </row>
    <row r="30" spans="1:61" ht="15" customHeight="1" x14ac:dyDescent="0.35">
      <c r="A30" s="10" t="s">
        <v>289</v>
      </c>
      <c r="B30" s="30">
        <f t="shared" ref="B30:AG30" si="12">B20+B23+B26</f>
        <v>1138.6199999999999</v>
      </c>
      <c r="C30" s="30">
        <f t="shared" si="12"/>
        <v>1840.83</v>
      </c>
      <c r="D30" s="30">
        <f t="shared" si="12"/>
        <v>3264.12</v>
      </c>
      <c r="E30" s="30">
        <f t="shared" si="12"/>
        <v>1725.6599999999999</v>
      </c>
      <c r="F30" s="30">
        <f t="shared" si="12"/>
        <v>2136.87</v>
      </c>
      <c r="G30" s="30">
        <f t="shared" si="12"/>
        <v>1853.3999999999999</v>
      </c>
      <c r="H30" s="30">
        <f t="shared" si="12"/>
        <v>1864.77</v>
      </c>
      <c r="I30" s="30">
        <f t="shared" si="12"/>
        <v>5443.71</v>
      </c>
      <c r="J30" s="30">
        <f t="shared" si="12"/>
        <v>1500</v>
      </c>
      <c r="K30" s="30">
        <f t="shared" si="12"/>
        <v>1311.6599999999999</v>
      </c>
      <c r="L30" s="30">
        <f t="shared" si="12"/>
        <v>2729.16</v>
      </c>
      <c r="M30" s="30">
        <f t="shared" si="12"/>
        <v>3549.42</v>
      </c>
      <c r="N30" s="30">
        <f t="shared" si="12"/>
        <v>4347</v>
      </c>
      <c r="O30" s="30">
        <f t="shared" si="12"/>
        <v>5133.24</v>
      </c>
      <c r="P30" s="30">
        <f t="shared" si="12"/>
        <v>5900.58</v>
      </c>
      <c r="Q30" s="30">
        <f t="shared" si="12"/>
        <v>6664.1399999999994</v>
      </c>
      <c r="R30" s="30">
        <f t="shared" si="12"/>
        <v>7423.92</v>
      </c>
      <c r="S30" s="30">
        <f t="shared" si="12"/>
        <v>8183.7</v>
      </c>
      <c r="T30" s="30">
        <f t="shared" si="12"/>
        <v>8954.82</v>
      </c>
      <c r="U30" s="30">
        <f t="shared" si="12"/>
        <v>9722.16</v>
      </c>
      <c r="V30" s="30">
        <f t="shared" si="12"/>
        <v>10508.4</v>
      </c>
      <c r="W30" s="30">
        <f t="shared" si="12"/>
        <v>11305.98</v>
      </c>
      <c r="X30" s="30">
        <f t="shared" si="12"/>
        <v>12122.46</v>
      </c>
      <c r="Y30" s="30">
        <f t="shared" si="12"/>
        <v>12961.619999999999</v>
      </c>
      <c r="Z30" s="30">
        <f t="shared" si="12"/>
        <v>13819.68</v>
      </c>
      <c r="AA30" s="30">
        <f t="shared" si="12"/>
        <v>14704.199999999999</v>
      </c>
      <c r="AB30" s="30">
        <f t="shared" si="12"/>
        <v>15622.74</v>
      </c>
      <c r="AC30" s="30">
        <f t="shared" si="12"/>
        <v>16571.52</v>
      </c>
      <c r="AD30" s="30">
        <f t="shared" si="12"/>
        <v>17558.099999999999</v>
      </c>
      <c r="AE30" s="30">
        <f t="shared" si="12"/>
        <v>18586.259999999998</v>
      </c>
      <c r="AF30" s="30">
        <f t="shared" si="12"/>
        <v>19652.219999999998</v>
      </c>
      <c r="AG30" s="30">
        <f t="shared" si="12"/>
        <v>20767.32</v>
      </c>
      <c r="AH30" s="30">
        <f t="shared" ref="AH30:BI30" si="13">AH20+AH23+AH26</f>
        <v>21927.78</v>
      </c>
      <c r="AI30" s="30">
        <f t="shared" si="13"/>
        <v>23141.16</v>
      </c>
      <c r="AJ30" s="30">
        <f t="shared" si="13"/>
        <v>24403.68</v>
      </c>
      <c r="AK30" s="30">
        <f t="shared" si="13"/>
        <v>25726.68</v>
      </c>
      <c r="AL30" s="30">
        <f t="shared" si="13"/>
        <v>27110.16</v>
      </c>
      <c r="AM30" s="30">
        <f t="shared" si="13"/>
        <v>28561.68</v>
      </c>
      <c r="AN30" s="30">
        <f t="shared" si="13"/>
        <v>30081.239999999998</v>
      </c>
      <c r="AO30" s="30">
        <f t="shared" si="13"/>
        <v>31668.84</v>
      </c>
      <c r="AP30" s="30">
        <f t="shared" si="13"/>
        <v>33332.04</v>
      </c>
      <c r="AQ30" s="30">
        <f t="shared" si="13"/>
        <v>35078.400000000001</v>
      </c>
      <c r="AR30" s="30">
        <f t="shared" si="13"/>
        <v>36911.699999999997</v>
      </c>
      <c r="AS30" s="30">
        <f t="shared" si="13"/>
        <v>38831.939999999995</v>
      </c>
      <c r="AT30" s="30">
        <f t="shared" si="13"/>
        <v>40842.9</v>
      </c>
      <c r="AU30" s="30">
        <f t="shared" si="13"/>
        <v>42955.92</v>
      </c>
      <c r="AV30" s="30">
        <f t="shared" si="13"/>
        <v>45174.78</v>
      </c>
      <c r="AW30" s="30">
        <f t="shared" si="13"/>
        <v>47495.7</v>
      </c>
      <c r="AX30" s="30">
        <f t="shared" si="13"/>
        <v>49933.799999999996</v>
      </c>
      <c r="AY30" s="30">
        <f t="shared" si="13"/>
        <v>52500.42</v>
      </c>
      <c r="AZ30" s="30">
        <f t="shared" si="13"/>
        <v>55184.22</v>
      </c>
      <c r="BA30" s="30">
        <f t="shared" si="13"/>
        <v>58007.88</v>
      </c>
      <c r="BB30" s="30">
        <f t="shared" si="13"/>
        <v>60967.619999999995</v>
      </c>
      <c r="BC30" s="30">
        <f t="shared" si="13"/>
        <v>64082.34</v>
      </c>
      <c r="BD30" s="30">
        <f t="shared" si="13"/>
        <v>67344.479999999996</v>
      </c>
      <c r="BE30" s="30">
        <f t="shared" si="13"/>
        <v>70769.16</v>
      </c>
      <c r="BF30" s="30">
        <f t="shared" si="13"/>
        <v>74363.94</v>
      </c>
      <c r="BG30" s="30">
        <f t="shared" si="13"/>
        <v>78140.160000000003</v>
      </c>
      <c r="BH30" s="30">
        <f t="shared" si="13"/>
        <v>82105.37999999999</v>
      </c>
      <c r="BI30" s="30">
        <f t="shared" si="13"/>
        <v>86267.16</v>
      </c>
    </row>
    <row r="31" spans="1:61" ht="15" customHeight="1" x14ac:dyDescent="0.35">
      <c r="A31" s="10" t="s">
        <v>290</v>
      </c>
      <c r="B31" s="14">
        <f t="shared" ref="B31:AG31" si="14">B28+B29+B30</f>
        <v>16697.62</v>
      </c>
      <c r="C31" s="14">
        <f t="shared" si="14"/>
        <v>27386.58</v>
      </c>
      <c r="D31" s="14">
        <f t="shared" si="14"/>
        <v>41268.370000000003</v>
      </c>
      <c r="E31" s="14">
        <f t="shared" si="14"/>
        <v>22857.91</v>
      </c>
      <c r="F31" s="14">
        <f t="shared" si="14"/>
        <v>28971.37</v>
      </c>
      <c r="G31" s="14">
        <f t="shared" si="14"/>
        <v>24106.65</v>
      </c>
      <c r="H31" s="14">
        <f t="shared" si="14"/>
        <v>23770.27</v>
      </c>
      <c r="I31" s="14">
        <f t="shared" si="14"/>
        <v>72561.460000000006</v>
      </c>
      <c r="J31" s="14">
        <f t="shared" si="14"/>
        <v>26644</v>
      </c>
      <c r="K31" s="14">
        <f t="shared" si="14"/>
        <v>16406.16</v>
      </c>
      <c r="L31" s="14">
        <f t="shared" si="14"/>
        <v>34136.160000000003</v>
      </c>
      <c r="M31" s="14">
        <f t="shared" si="14"/>
        <v>56235.92</v>
      </c>
      <c r="N31" s="14">
        <f t="shared" si="14"/>
        <v>54372</v>
      </c>
      <c r="O31" s="14">
        <f t="shared" si="14"/>
        <v>64206.239999999998</v>
      </c>
      <c r="P31" s="14">
        <f t="shared" si="14"/>
        <v>88012.08</v>
      </c>
      <c r="Q31" s="14">
        <f t="shared" si="14"/>
        <v>83354.64</v>
      </c>
      <c r="R31" s="14">
        <f t="shared" si="14"/>
        <v>92857.919999999998</v>
      </c>
      <c r="S31" s="14">
        <f t="shared" si="14"/>
        <v>116569.2</v>
      </c>
      <c r="T31" s="14">
        <f t="shared" si="14"/>
        <v>112006.32</v>
      </c>
      <c r="U31" s="14">
        <f t="shared" si="14"/>
        <v>121604.16</v>
      </c>
      <c r="V31" s="14">
        <f t="shared" si="14"/>
        <v>145646.39999999999</v>
      </c>
      <c r="W31" s="14">
        <f t="shared" si="14"/>
        <v>141414.48000000001</v>
      </c>
      <c r="X31" s="14">
        <f t="shared" si="14"/>
        <v>151626.96</v>
      </c>
      <c r="Y31" s="14">
        <f t="shared" si="14"/>
        <v>176331.12</v>
      </c>
      <c r="Z31" s="14">
        <f t="shared" si="14"/>
        <v>172855.67999999999</v>
      </c>
      <c r="AA31" s="14">
        <f t="shared" si="14"/>
        <v>183919.2</v>
      </c>
      <c r="AB31" s="14">
        <f t="shared" si="14"/>
        <v>214352.24</v>
      </c>
      <c r="AC31" s="14">
        <f t="shared" si="14"/>
        <v>207275.51999999999</v>
      </c>
      <c r="AD31" s="14">
        <f t="shared" si="14"/>
        <v>219615.6</v>
      </c>
      <c r="AE31" s="14">
        <f t="shared" si="14"/>
        <v>251419.76</v>
      </c>
      <c r="AF31" s="14">
        <f t="shared" si="14"/>
        <v>245808.72</v>
      </c>
      <c r="AG31" s="14">
        <f t="shared" si="14"/>
        <v>259756.32</v>
      </c>
      <c r="AH31" s="14">
        <f t="shared" ref="AH31:BI31" si="15">AH28+AH29+AH30</f>
        <v>293215.28000000003</v>
      </c>
      <c r="AI31" s="14">
        <f t="shared" si="15"/>
        <v>289448.15999999997</v>
      </c>
      <c r="AJ31" s="14">
        <f t="shared" si="15"/>
        <v>305239.67999999999</v>
      </c>
      <c r="AK31" s="14">
        <f t="shared" si="15"/>
        <v>340731.68</v>
      </c>
      <c r="AL31" s="14">
        <f t="shared" si="15"/>
        <v>340688.16</v>
      </c>
      <c r="AM31" s="14">
        <f t="shared" si="15"/>
        <v>359239.67999999999</v>
      </c>
      <c r="AN31" s="14">
        <f t="shared" si="15"/>
        <v>402322.24</v>
      </c>
      <c r="AO31" s="14">
        <f t="shared" si="15"/>
        <v>398901.84</v>
      </c>
      <c r="AP31" s="14">
        <f t="shared" si="15"/>
        <v>420101.04</v>
      </c>
      <c r="AQ31" s="14">
        <f t="shared" si="15"/>
        <v>466020.4</v>
      </c>
      <c r="AR31" s="14">
        <f t="shared" si="15"/>
        <v>465673.2</v>
      </c>
      <c r="AS31" s="14">
        <f t="shared" si="15"/>
        <v>490087.44</v>
      </c>
      <c r="AT31" s="14">
        <f t="shared" si="15"/>
        <v>539316.4</v>
      </c>
      <c r="AU31" s="14">
        <f t="shared" si="15"/>
        <v>542467.92000000004</v>
      </c>
      <c r="AV31" s="14">
        <f t="shared" si="15"/>
        <v>570617.28</v>
      </c>
      <c r="AW31" s="14">
        <f t="shared" si="15"/>
        <v>623723.19999999995</v>
      </c>
      <c r="AX31" s="14">
        <f t="shared" si="15"/>
        <v>631732.80000000005</v>
      </c>
      <c r="AY31" s="14">
        <f t="shared" si="15"/>
        <v>664285.17000000004</v>
      </c>
      <c r="AZ31" s="14">
        <f t="shared" si="15"/>
        <v>726719.22</v>
      </c>
      <c r="BA31" s="14">
        <f t="shared" si="15"/>
        <v>734070.63</v>
      </c>
      <c r="BB31" s="14">
        <f t="shared" si="15"/>
        <v>771534.12</v>
      </c>
      <c r="BC31" s="14">
        <f t="shared" si="15"/>
        <v>839358.09</v>
      </c>
      <c r="BD31" s="14">
        <f t="shared" si="15"/>
        <v>852193.98</v>
      </c>
      <c r="BE31" s="14">
        <f t="shared" si="15"/>
        <v>895478.91</v>
      </c>
      <c r="BF31" s="14">
        <f t="shared" si="15"/>
        <v>969301.44</v>
      </c>
      <c r="BG31" s="14">
        <f t="shared" si="15"/>
        <v>988567.41</v>
      </c>
      <c r="BH31" s="14">
        <f t="shared" si="15"/>
        <v>1038613.38</v>
      </c>
      <c r="BI31" s="14">
        <f t="shared" si="15"/>
        <v>1119533.9099999999</v>
      </c>
    </row>
    <row r="33" spans="1:61" ht="15" customHeight="1" x14ac:dyDescent="0.35">
      <c r="A33" s="5" t="s">
        <v>291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</row>
    <row r="34" spans="1:61" ht="15" customHeight="1" x14ac:dyDescent="0.35">
      <c r="A34" s="7" t="s">
        <v>292</v>
      </c>
      <c r="B34" s="36">
        <f>IF(B10=0,0,(B7*'Drivers &amp; Assumptions'!C16+B8*'Drivers &amp; Assumptions'!C25+B9*'Drivers &amp; Assumptions'!C36)/B10)</f>
        <v>8.5561647275466637</v>
      </c>
      <c r="C34" s="36">
        <f>IF(C10=0,0,(C7*'Drivers &amp; Assumptions'!C16+C8*'Drivers &amp; Assumptions'!C25+C9*'Drivers &amp; Assumptions'!C36)/C10)</f>
        <v>8.9771593893943429</v>
      </c>
      <c r="D34" s="36">
        <f>IF(D10=0,0,(D7*'Drivers &amp; Assumptions'!C16+D8*'Drivers &amp; Assumptions'!C25+D9*'Drivers &amp; Assumptions'!C36)/D10)</f>
        <v>3.425229544529377</v>
      </c>
      <c r="E34" s="36">
        <f>IF(E10=0,0,(E7*'Drivers &amp; Assumptions'!C16+E8*'Drivers &amp; Assumptions'!C25+E9*'Drivers &amp; Assumptions'!C36)/E10)</f>
        <v>5.1874171233204995</v>
      </c>
      <c r="F34" s="36">
        <f>IF(F10=0,0,(F7*'Drivers &amp; Assumptions'!C16+F8*'Drivers &amp; Assumptions'!C25+F9*'Drivers &amp; Assumptions'!C36)/F10)</f>
        <v>6.0255428956094645</v>
      </c>
      <c r="G34" s="36">
        <f>IF(G10=0,0,(G7*'Drivers &amp; Assumptions'!C16+G8*'Drivers &amp; Assumptions'!C25+G9*'Drivers &amp; Assumptions'!C36)/G10)</f>
        <v>4.5307132059914803</v>
      </c>
      <c r="H34" s="36">
        <f>IF(H10=0,0,(H7*'Drivers &amp; Assumptions'!C16+H8*'Drivers &amp; Assumptions'!C25+H9*'Drivers &amp; Assumptions'!C36)/H10)</f>
        <v>3.7594515150567558</v>
      </c>
      <c r="I34" s="36">
        <f>IF(I10=0,0,(I7*'Drivers &amp; Assumptions'!C16+I8*'Drivers &amp; Assumptions'!C25+I9*'Drivers &amp; Assumptions'!C36)/I10)</f>
        <v>5.4235544341387802</v>
      </c>
      <c r="J34" s="36">
        <f>IF(J10=0,0,(J7*'Drivers &amp; Assumptions'!C16+J8*'Drivers &amp; Assumptions'!C25+J9*'Drivers &amp; Assumptions'!C36)/J10)</f>
        <v>15.843120805369127</v>
      </c>
      <c r="K34" s="36">
        <f>IF(K10=0,0,(K7*'Drivers &amp; Assumptions'!C16+K8*'Drivers &amp; Assumptions'!C25+K9*'Drivers &amp; Assumptions'!C36)/K10)</f>
        <v>3</v>
      </c>
      <c r="L34" s="36">
        <f>IF(L10=0,0,(L7*'Drivers &amp; Assumptions'!C16+L8*'Drivers &amp; Assumptions'!C25+L9*'Drivers &amp; Assumptions'!C36)/L10)</f>
        <v>3</v>
      </c>
      <c r="M34" s="36">
        <f>IF(M10=0,0,(M7*'Drivers &amp; Assumptions'!C16+M8*'Drivers &amp; Assumptions'!C25+M9*'Drivers &amp; Assumptions'!C36)/M10)</f>
        <v>10.482678983833718</v>
      </c>
      <c r="N34" s="36">
        <f>IF(N10=0,0,(N7*'Drivers &amp; Assumptions'!C16+N8*'Drivers &amp; Assumptions'!C25+N9*'Drivers &amp; Assumptions'!C36)/N10)</f>
        <v>3</v>
      </c>
      <c r="O34" s="36">
        <f>IF(O10=0,0,(O7*'Drivers &amp; Assumptions'!C16+O8*'Drivers &amp; Assumptions'!C25+O9*'Drivers &amp; Assumptions'!C36)/O10)</f>
        <v>3</v>
      </c>
      <c r="P34" s="36">
        <f>IF(P10=0,0,(P7*'Drivers &amp; Assumptions'!C16+P8*'Drivers &amp; Assumptions'!C25+P9*'Drivers &amp; Assumptions'!C36)/P10)</f>
        <v>8.8524836929252384</v>
      </c>
      <c r="Q34" s="36">
        <f>IF(Q10=0,0,(Q7*'Drivers &amp; Assumptions'!C16+Q8*'Drivers &amp; Assumptions'!C25+Q9*'Drivers &amp; Assumptions'!C36)/Q10)</f>
        <v>3</v>
      </c>
      <c r="R34" s="36">
        <f>IF(R10=0,0,(R7*'Drivers &amp; Assumptions'!C16+R8*'Drivers &amp; Assumptions'!C25+R9*'Drivers &amp; Assumptions'!C36)/R10)</f>
        <v>3</v>
      </c>
      <c r="S34" s="36">
        <f>IF(S10=0,0,(S7*'Drivers &amp; Assumptions'!C16+S8*'Drivers &amp; Assumptions'!C25+S9*'Drivers &amp; Assumptions'!C36)/S10)</f>
        <v>7.4913361571043513</v>
      </c>
      <c r="T34" s="36">
        <f>IF(T10=0,0,(T7*'Drivers &amp; Assumptions'!C16+T8*'Drivers &amp; Assumptions'!C25+T9*'Drivers &amp; Assumptions'!C36)/T10)</f>
        <v>3</v>
      </c>
      <c r="U34" s="36">
        <f>IF(U10=0,0,(U7*'Drivers &amp; Assumptions'!C16+U8*'Drivers &amp; Assumptions'!C25+U9*'Drivers &amp; Assumptions'!C36)/U10)</f>
        <v>3</v>
      </c>
      <c r="V34" s="36">
        <f>IF(V10=0,0,(V7*'Drivers &amp; Assumptions'!C16+V8*'Drivers &amp; Assumptions'!C25+V9*'Drivers &amp; Assumptions'!C36)/V10)</f>
        <v>6.6313823163138235</v>
      </c>
      <c r="W34" s="36">
        <f>IF(W10=0,0,(W7*'Drivers &amp; Assumptions'!C16+W8*'Drivers &amp; Assumptions'!C25+W9*'Drivers &amp; Assumptions'!C36)/W10)</f>
        <v>3</v>
      </c>
      <c r="X34" s="36">
        <f>IF(X10=0,0,(X7*'Drivers &amp; Assumptions'!C16+X8*'Drivers &amp; Assumptions'!C25+X9*'Drivers &amp; Assumptions'!C36)/X10)</f>
        <v>3</v>
      </c>
      <c r="Y34" s="36">
        <f>IF(Y10=0,0,(Y7*'Drivers &amp; Assumptions'!C16+Y8*'Drivers &amp; Assumptions'!C25+Y9*'Drivers &amp; Assumptions'!C36)/Y10)</f>
        <v>6.0209790209790208</v>
      </c>
      <c r="Z34" s="36">
        <f>IF(Z10=0,0,(Z7*'Drivers &amp; Assumptions'!C16+Z8*'Drivers &amp; Assumptions'!C25+Z9*'Drivers &amp; Assumptions'!C36)/Z10)</f>
        <v>3</v>
      </c>
      <c r="AA34" s="36">
        <f>IF(AA10=0,0,(AA7*'Drivers &amp; Assumptions'!C16+AA8*'Drivers &amp; Assumptions'!C25+AA9*'Drivers &amp; Assumptions'!C36)/AA10)</f>
        <v>3</v>
      </c>
      <c r="AB34" s="36">
        <f>IF(AB10=0,0,(AB7*'Drivers &amp; Assumptions'!C16+AB8*'Drivers &amp; Assumptions'!C25+AB9*'Drivers &amp; Assumptions'!C36)/AB10)</f>
        <v>6.3026120195370563</v>
      </c>
      <c r="AC34" s="36">
        <f>IF(AC10=0,0,(AC7*'Drivers &amp; Assumptions'!C16+AC8*'Drivers &amp; Assumptions'!C25+AC9*'Drivers &amp; Assumptions'!C36)/AC10)</f>
        <v>3</v>
      </c>
      <c r="AD34" s="36">
        <f>IF(AD10=0,0,(AD7*'Drivers &amp; Assumptions'!C16+AD8*'Drivers &amp; Assumptions'!C25+AD9*'Drivers &amp; Assumptions'!C36)/AD10)</f>
        <v>3</v>
      </c>
      <c r="AE34" s="36">
        <f>IF(AE10=0,0,(AE7*'Drivers &amp; Assumptions'!C16+AE8*'Drivers &amp; Assumptions'!C25+AE9*'Drivers &amp; Assumptions'!C36)/AE10)</f>
        <v>5.8312397596941565</v>
      </c>
      <c r="AF34" s="36">
        <f>IF(AF10=0,0,(AF7*'Drivers &amp; Assumptions'!C16+AF8*'Drivers &amp; Assumptions'!C25+AF9*'Drivers &amp; Assumptions'!C36)/AF10)</f>
        <v>3</v>
      </c>
      <c r="AG34" s="36">
        <f>IF(AG10=0,0,(AG7*'Drivers &amp; Assumptions'!C16+AG8*'Drivers &amp; Assumptions'!C25+AG9*'Drivers &amp; Assumptions'!C36)/AG10)</f>
        <v>3</v>
      </c>
      <c r="AH34" s="36">
        <f>IF(AH10=0,0,(AH7*'Drivers &amp; Assumptions'!C16+AH8*'Drivers &amp; Assumptions'!C25+AH9*'Drivers &amp; Assumptions'!C36)/AH10)</f>
        <v>5.4387643092363183</v>
      </c>
      <c r="AI34" s="36">
        <f>IF(AI10=0,0,(AI7*'Drivers &amp; Assumptions'!C16+AI8*'Drivers &amp; Assumptions'!C25+AI9*'Drivers &amp; Assumptions'!C36)/AI10)</f>
        <v>3</v>
      </c>
      <c r="AJ34" s="36">
        <f>IF(AJ10=0,0,(AJ7*'Drivers &amp; Assumptions'!C16+AJ8*'Drivers &amp; Assumptions'!C25+AJ9*'Drivers &amp; Assumptions'!C36)/AJ10)</f>
        <v>3</v>
      </c>
      <c r="AK34" s="36">
        <f>IF(AK10=0,0,(AK7*'Drivers &amp; Assumptions'!C16+AK8*'Drivers &amp; Assumptions'!C25+AK9*'Drivers &amp; Assumptions'!C36)/AK10)</f>
        <v>5.1067461392576536</v>
      </c>
      <c r="AL34" s="36">
        <f>IF(AL10=0,0,(AL7*'Drivers &amp; Assumptions'!C16+AL8*'Drivers &amp; Assumptions'!C25+AL9*'Drivers &amp; Assumptions'!C36)/AL10)</f>
        <v>3.2792243767313018</v>
      </c>
      <c r="AM34" s="36">
        <f>IF(AM10=0,0,(AM7*'Drivers &amp; Assumptions'!C16+AM8*'Drivers &amp; Assumptions'!C25+AM9*'Drivers &amp; Assumptions'!C36)/AM10)</f>
        <v>3.3308823529411766</v>
      </c>
      <c r="AN34" s="36">
        <f>IF(AN10=0,0,(AN7*'Drivers &amp; Assumptions'!C16+AN8*'Drivers &amp; Assumptions'!C25+AN9*'Drivers &amp; Assumptions'!C36)/AN10)</f>
        <v>5.5673142857142857</v>
      </c>
      <c r="AO34" s="36">
        <f>IF(AO10=0,0,(AO7*'Drivers &amp; Assumptions'!C16+AO8*'Drivers &amp; Assumptions'!C25+AO9*'Drivers &amp; Assumptions'!C36)/AO10)</f>
        <v>3.4169227133065467</v>
      </c>
      <c r="AP34" s="36">
        <f>IF(AP10=0,0,(AP7*'Drivers &amp; Assumptions'!C16+AP8*'Drivers &amp; Assumptions'!C25+AP9*'Drivers &amp; Assumptions'!C36)/AP10)</f>
        <v>3.4523221898137759</v>
      </c>
      <c r="AQ34" s="36">
        <f>IF(AQ10=0,0,(AQ7*'Drivers &amp; Assumptions'!C16+AQ8*'Drivers &amp; Assumptions'!C25+AQ9*'Drivers &amp; Assumptions'!C36)/AQ10)</f>
        <v>5.3719825880490699</v>
      </c>
      <c r="AR34" s="36">
        <f>IF(AR10=0,0,(AR7*'Drivers &amp; Assumptions'!C16+AR8*'Drivers &amp; Assumptions'!C25+AR9*'Drivers &amp; Assumptions'!C36)/AR10)</f>
        <v>3.5098634294385431</v>
      </c>
      <c r="AS34" s="36">
        <f>IF(AS10=0,0,(AS7*'Drivers &amp; Assumptions'!C16+AS8*'Drivers &amp; Assumptions'!C25+AS9*'Drivers &amp; Assumptions'!C36)/AS10)</f>
        <v>3.5328207592503604</v>
      </c>
      <c r="AT34" s="36">
        <f>IF(AT10=0,0,(AT7*'Drivers &amp; Assumptions'!C16+AT8*'Drivers &amp; Assumptions'!C25+AT9*'Drivers &amp; Assumptions'!C36)/AT10)</f>
        <v>5.1842488645128117</v>
      </c>
      <c r="AU34" s="36">
        <f>IF(AU10=0,0,(AU7*'Drivers &amp; Assumptions'!C16+AU8*'Drivers &amp; Assumptions'!C25+AU9*'Drivers &amp; Assumptions'!C36)/AU10)</f>
        <v>3.5687500000000001</v>
      </c>
      <c r="AV34" s="36">
        <f>IF(AV10=0,0,(AV7*'Drivers &amp; Assumptions'!C16+AV8*'Drivers &amp; Assumptions'!C25+AV9*'Drivers &amp; Assumptions'!C36)/AV10)</f>
        <v>3.582226256291773</v>
      </c>
      <c r="AW34" s="36">
        <f>IF(AW10=0,0,(AW7*'Drivers &amp; Assumptions'!C16+AW8*'Drivers &amp; Assumptions'!C25+AW9*'Drivers &amp; Assumptions'!C36)/AW10)</f>
        <v>5.0051986632008916</v>
      </c>
      <c r="AX34" s="36">
        <f>IF(AX10=0,0,(AX7*'Drivers &amp; Assumptions'!C16+AX8*'Drivers &amp; Assumptions'!C25+AX9*'Drivers &amp; Assumptions'!C36)/AX10)</f>
        <v>3.6757038581856101</v>
      </c>
      <c r="AY34" s="36">
        <f>IF(AY10=0,0,(AY7*'Drivers &amp; Assumptions'!C16+AY8*'Drivers &amp; Assumptions'!C25+AY9*'Drivers &amp; Assumptions'!C36)/AY10)</f>
        <v>3.682721252257676</v>
      </c>
      <c r="AZ34" s="36">
        <f>IF(AZ10=0,0,(AZ7*'Drivers &amp; Assumptions'!C16+AZ8*'Drivers &amp; Assumptions'!C25+AZ9*'Drivers &amp; Assumptions'!C36)/AZ10)</f>
        <v>5.1351076021902458</v>
      </c>
      <c r="BA34" s="36">
        <f>IF(BA10=0,0,(BA7*'Drivers &amp; Assumptions'!C16+BA8*'Drivers &amp; Assumptions'!C25+BA9*'Drivers &amp; Assumptions'!C36)/BA10)</f>
        <v>3.6904662714308603</v>
      </c>
      <c r="BB34" s="36">
        <f>IF(BB10=0,0,(BB7*'Drivers &amp; Assumptions'!C16+BB8*'Drivers &amp; Assumptions'!C25+BB9*'Drivers &amp; Assumptions'!C36)/BB10)</f>
        <v>3.6915055796085126</v>
      </c>
      <c r="BC34" s="36">
        <f>IF(BC10=0,0,(BC7*'Drivers &amp; Assumptions'!C16+BC8*'Drivers &amp; Assumptions'!C25+BC9*'Drivers &amp; Assumptions'!C36)/BC10)</f>
        <v>4.9466313085273885</v>
      </c>
      <c r="BD34" s="36">
        <f>IF(BD10=0,0,(BD7*'Drivers &amp; Assumptions'!C16+BD8*'Drivers &amp; Assumptions'!C25+BD9*'Drivers &amp; Assumptions'!C36)/BD10)</f>
        <v>3.6886766410865124</v>
      </c>
      <c r="BE34" s="36">
        <f>IF(BE10=0,0,(BE7*'Drivers &amp; Assumptions'!C16+BE8*'Drivers &amp; Assumptions'!C25+BE9*'Drivers &amp; Assumptions'!C36)/BE10)</f>
        <v>3.6851963746223566</v>
      </c>
      <c r="BF34" s="36">
        <f>IF(BF10=0,0,(BF7*'Drivers &amp; Assumptions'!C16+BF8*'Drivers &amp; Assumptions'!C25+BF9*'Drivers &amp; Assumptions'!C36)/BF10)</f>
        <v>4.7705766741766933</v>
      </c>
      <c r="BG34" s="36">
        <f>IF(BG10=0,0,(BG7*'Drivers &amp; Assumptions'!C16+BG8*'Drivers &amp; Assumptions'!C25+BG9*'Drivers &amp; Assumptions'!C36)/BG10)</f>
        <v>3.6746947809324353</v>
      </c>
      <c r="BH34" s="36">
        <f>IF(BH10=0,0,(BH7*'Drivers &amp; Assumptions'!C16+BH8*'Drivers &amp; Assumptions'!C25+BH9*'Drivers &amp; Assumptions'!C36)/BH10)</f>
        <v>3.6679050380572673</v>
      </c>
      <c r="BI34" s="36">
        <f>IF(BI10=0,0,(BI7*'Drivers &amp; Assumptions'!C16+BI8*'Drivers &amp; Assumptions'!C25+BI9*'Drivers &amp; Assumptions'!C36)/BI10)</f>
        <v>4.6064946674705309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A1:BI41"/>
  <sheetViews>
    <sheetView topLeftCell="C3" zoomScaleNormal="100" workbookViewId="0">
      <selection activeCell="N24" sqref="N24"/>
    </sheetView>
  </sheetViews>
  <sheetFormatPr defaultColWidth="8.6328125" defaultRowHeight="14.5" x14ac:dyDescent="0.35"/>
  <cols>
    <col min="1" max="1" width="42" customWidth="1"/>
    <col min="2" max="61" width="14" customWidth="1"/>
  </cols>
  <sheetData>
    <row r="1" spans="1:61" ht="17.25" customHeight="1" x14ac:dyDescent="0.4">
      <c r="A1" s="1" t="s">
        <v>293</v>
      </c>
    </row>
    <row r="2" spans="1:61" ht="15" customHeight="1" x14ac:dyDescent="0.35">
      <c r="A2" s="2" t="s">
        <v>294</v>
      </c>
    </row>
    <row r="4" spans="1:61" ht="15" customHeight="1" x14ac:dyDescent="0.35">
      <c r="A4" s="19"/>
      <c r="B4" s="25" t="s">
        <v>147</v>
      </c>
      <c r="C4" s="25" t="s">
        <v>148</v>
      </c>
      <c r="D4" s="25" t="s">
        <v>149</v>
      </c>
      <c r="E4" s="25" t="s">
        <v>150</v>
      </c>
      <c r="F4" s="25" t="s">
        <v>151</v>
      </c>
      <c r="G4" s="25" t="s">
        <v>152</v>
      </c>
      <c r="H4" s="25" t="s">
        <v>153</v>
      </c>
      <c r="I4" s="25" t="s">
        <v>154</v>
      </c>
      <c r="J4" s="19" t="s">
        <v>155</v>
      </c>
      <c r="K4" s="19" t="s">
        <v>156</v>
      </c>
      <c r="L4" s="19" t="s">
        <v>157</v>
      </c>
      <c r="M4" s="19" t="s">
        <v>158</v>
      </c>
      <c r="N4" s="19" t="s">
        <v>159</v>
      </c>
      <c r="O4" s="19" t="s">
        <v>160</v>
      </c>
      <c r="P4" s="19" t="s">
        <v>161</v>
      </c>
      <c r="Q4" s="19" t="s">
        <v>162</v>
      </c>
      <c r="R4" s="19" t="s">
        <v>163</v>
      </c>
      <c r="S4" s="19" t="s">
        <v>164</v>
      </c>
      <c r="T4" s="19" t="s">
        <v>165</v>
      </c>
      <c r="U4" s="19" t="s">
        <v>166</v>
      </c>
      <c r="V4" s="19" t="s">
        <v>167</v>
      </c>
      <c r="W4" s="19" t="s">
        <v>168</v>
      </c>
      <c r="X4" s="19" t="s">
        <v>169</v>
      </c>
      <c r="Y4" s="19" t="s">
        <v>170</v>
      </c>
      <c r="Z4" s="19" t="s">
        <v>171</v>
      </c>
      <c r="AA4" s="19" t="s">
        <v>172</v>
      </c>
      <c r="AB4" s="19" t="s">
        <v>173</v>
      </c>
      <c r="AC4" s="19" t="s">
        <v>174</v>
      </c>
      <c r="AD4" s="19" t="s">
        <v>175</v>
      </c>
      <c r="AE4" s="19" t="s">
        <v>176</v>
      </c>
      <c r="AF4" s="19" t="s">
        <v>177</v>
      </c>
      <c r="AG4" s="19" t="s">
        <v>178</v>
      </c>
      <c r="AH4" s="19" t="s">
        <v>179</v>
      </c>
      <c r="AI4" s="19" t="s">
        <v>180</v>
      </c>
      <c r="AJ4" s="19" t="s">
        <v>181</v>
      </c>
      <c r="AK4" s="19" t="s">
        <v>182</v>
      </c>
      <c r="AL4" s="19" t="s">
        <v>183</v>
      </c>
      <c r="AM4" s="19" t="s">
        <v>184</v>
      </c>
      <c r="AN4" s="19" t="s">
        <v>185</v>
      </c>
      <c r="AO4" s="19" t="s">
        <v>186</v>
      </c>
      <c r="AP4" s="19" t="s">
        <v>187</v>
      </c>
      <c r="AQ4" s="19" t="s">
        <v>188</v>
      </c>
      <c r="AR4" s="19" t="s">
        <v>189</v>
      </c>
      <c r="AS4" s="19" t="s">
        <v>190</v>
      </c>
      <c r="AT4" s="19" t="s">
        <v>191</v>
      </c>
      <c r="AU4" s="19" t="s">
        <v>192</v>
      </c>
      <c r="AV4" s="19" t="s">
        <v>193</v>
      </c>
      <c r="AW4" s="19" t="s">
        <v>194</v>
      </c>
      <c r="AX4" s="19" t="s">
        <v>195</v>
      </c>
      <c r="AY4" s="19" t="s">
        <v>196</v>
      </c>
      <c r="AZ4" s="19" t="s">
        <v>197</v>
      </c>
      <c r="BA4" s="19" t="s">
        <v>198</v>
      </c>
      <c r="BB4" s="19" t="s">
        <v>199</v>
      </c>
      <c r="BC4" s="19" t="s">
        <v>200</v>
      </c>
      <c r="BD4" s="19" t="s">
        <v>201</v>
      </c>
      <c r="BE4" s="19" t="s">
        <v>202</v>
      </c>
      <c r="BF4" s="19" t="s">
        <v>203</v>
      </c>
      <c r="BG4" s="19" t="s">
        <v>204</v>
      </c>
      <c r="BH4" s="19" t="s">
        <v>205</v>
      </c>
      <c r="BI4" s="19" t="s">
        <v>206</v>
      </c>
    </row>
    <row r="6" spans="1:61" ht="15" customHeight="1" x14ac:dyDescent="0.35">
      <c r="A6" s="5" t="s">
        <v>295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</row>
    <row r="7" spans="1:61" ht="15" customHeight="1" x14ac:dyDescent="0.35">
      <c r="A7" s="7" t="s">
        <v>9</v>
      </c>
      <c r="B7" s="8">
        <f>'Revenue Consolidation'!B7</f>
        <v>37954</v>
      </c>
      <c r="C7" s="8">
        <f>'Revenue Consolidation'!C7</f>
        <v>61361</v>
      </c>
      <c r="D7" s="8">
        <f>'Revenue Consolidation'!D7</f>
        <v>108804</v>
      </c>
      <c r="E7" s="8">
        <f>'Revenue Consolidation'!E7</f>
        <v>57522</v>
      </c>
      <c r="F7" s="8">
        <f>'Revenue Consolidation'!F7</f>
        <v>71229</v>
      </c>
      <c r="G7" s="8">
        <f>'Revenue Consolidation'!G7</f>
        <v>61780</v>
      </c>
      <c r="H7" s="8">
        <f>'Revenue Consolidation'!H7</f>
        <v>62159</v>
      </c>
      <c r="I7" s="8">
        <f>'Revenue Consolidation'!I7</f>
        <v>181457</v>
      </c>
      <c r="J7" s="8">
        <f>'Revenue Consolidation'!J7</f>
        <v>50000</v>
      </c>
      <c r="K7" s="8">
        <f>'Revenue Consolidation'!K7</f>
        <v>43722</v>
      </c>
      <c r="L7" s="8">
        <f>'Revenue Consolidation'!L7</f>
        <v>90972</v>
      </c>
      <c r="M7" s="8">
        <f>'Revenue Consolidation'!M7</f>
        <v>118314</v>
      </c>
      <c r="N7" s="8">
        <f>'Revenue Consolidation'!N7</f>
        <v>144900</v>
      </c>
      <c r="O7" s="8">
        <f>'Revenue Consolidation'!O7</f>
        <v>171108</v>
      </c>
      <c r="P7" s="8">
        <f>'Revenue Consolidation'!P7</f>
        <v>196686</v>
      </c>
      <c r="Q7" s="8">
        <f>'Revenue Consolidation'!Q7</f>
        <v>222138</v>
      </c>
      <c r="R7" s="8">
        <f>'Revenue Consolidation'!R7</f>
        <v>247464</v>
      </c>
      <c r="S7" s="8">
        <f>'Revenue Consolidation'!S7</f>
        <v>272790</v>
      </c>
      <c r="T7" s="8">
        <f>'Revenue Consolidation'!T7</f>
        <v>298494</v>
      </c>
      <c r="U7" s="8">
        <f>'Revenue Consolidation'!U7</f>
        <v>324072</v>
      </c>
      <c r="V7" s="8">
        <f>'Revenue Consolidation'!V7</f>
        <v>350280</v>
      </c>
      <c r="W7" s="8">
        <f>'Revenue Consolidation'!W7</f>
        <v>376866</v>
      </c>
      <c r="X7" s="8">
        <f>'Revenue Consolidation'!X7</f>
        <v>404082</v>
      </c>
      <c r="Y7" s="8">
        <f>'Revenue Consolidation'!Y7</f>
        <v>432054</v>
      </c>
      <c r="Z7" s="8">
        <f>'Revenue Consolidation'!Z7</f>
        <v>460656</v>
      </c>
      <c r="AA7" s="8">
        <f>'Revenue Consolidation'!AA7</f>
        <v>490140</v>
      </c>
      <c r="AB7" s="8">
        <f>'Revenue Consolidation'!AB7</f>
        <v>520758</v>
      </c>
      <c r="AC7" s="8">
        <f>'Revenue Consolidation'!AC7</f>
        <v>552384</v>
      </c>
      <c r="AD7" s="8">
        <f>'Revenue Consolidation'!AD7</f>
        <v>585270</v>
      </c>
      <c r="AE7" s="8">
        <f>'Revenue Consolidation'!AE7</f>
        <v>619542</v>
      </c>
      <c r="AF7" s="8">
        <f>'Revenue Consolidation'!AF7</f>
        <v>655074</v>
      </c>
      <c r="AG7" s="8">
        <f>'Revenue Consolidation'!AG7</f>
        <v>692244</v>
      </c>
      <c r="AH7" s="8">
        <f>'Revenue Consolidation'!AH7</f>
        <v>730926</v>
      </c>
      <c r="AI7" s="8">
        <f>'Revenue Consolidation'!AI7</f>
        <v>771372</v>
      </c>
      <c r="AJ7" s="8">
        <f>'Revenue Consolidation'!AJ7</f>
        <v>813456</v>
      </c>
      <c r="AK7" s="8">
        <f>'Revenue Consolidation'!AK7</f>
        <v>857556</v>
      </c>
      <c r="AL7" s="8">
        <f>'Revenue Consolidation'!AL7</f>
        <v>903672</v>
      </c>
      <c r="AM7" s="8">
        <f>'Revenue Consolidation'!AM7</f>
        <v>952056</v>
      </c>
      <c r="AN7" s="8">
        <f>'Revenue Consolidation'!AN7</f>
        <v>1002708</v>
      </c>
      <c r="AO7" s="8">
        <f>'Revenue Consolidation'!AO7</f>
        <v>1055628</v>
      </c>
      <c r="AP7" s="8">
        <f>'Revenue Consolidation'!AP7</f>
        <v>1111068</v>
      </c>
      <c r="AQ7" s="8">
        <f>'Revenue Consolidation'!AQ7</f>
        <v>1169280</v>
      </c>
      <c r="AR7" s="8">
        <f>'Revenue Consolidation'!AR7</f>
        <v>1230390</v>
      </c>
      <c r="AS7" s="8">
        <f>'Revenue Consolidation'!AS7</f>
        <v>1294398</v>
      </c>
      <c r="AT7" s="8">
        <f>'Revenue Consolidation'!AT7</f>
        <v>1361430</v>
      </c>
      <c r="AU7" s="8">
        <f>'Revenue Consolidation'!AU7</f>
        <v>1431864</v>
      </c>
      <c r="AV7" s="8">
        <f>'Revenue Consolidation'!AV7</f>
        <v>1505826</v>
      </c>
      <c r="AW7" s="8">
        <f>'Revenue Consolidation'!AW7</f>
        <v>1583190</v>
      </c>
      <c r="AX7" s="8">
        <f>'Revenue Consolidation'!AX7</f>
        <v>1664460</v>
      </c>
      <c r="AY7" s="8">
        <f>'Revenue Consolidation'!AY7</f>
        <v>1750014</v>
      </c>
      <c r="AZ7" s="8">
        <f>'Revenue Consolidation'!AZ7</f>
        <v>1839474</v>
      </c>
      <c r="BA7" s="8">
        <f>'Revenue Consolidation'!BA7</f>
        <v>1933596</v>
      </c>
      <c r="BB7" s="8">
        <f>'Revenue Consolidation'!BB7</f>
        <v>2032254</v>
      </c>
      <c r="BC7" s="8">
        <f>'Revenue Consolidation'!BC7</f>
        <v>2136078</v>
      </c>
      <c r="BD7" s="8">
        <f>'Revenue Consolidation'!BD7</f>
        <v>2244816</v>
      </c>
      <c r="BE7" s="8">
        <f>'Revenue Consolidation'!BE7</f>
        <v>2358972</v>
      </c>
      <c r="BF7" s="8">
        <f>'Revenue Consolidation'!BF7</f>
        <v>2478798</v>
      </c>
      <c r="BG7" s="8">
        <f>'Revenue Consolidation'!BG7</f>
        <v>2604672</v>
      </c>
      <c r="BH7" s="8">
        <f>'Revenue Consolidation'!BH7</f>
        <v>2736846</v>
      </c>
      <c r="BI7" s="8">
        <f>'Revenue Consolidation'!BI7</f>
        <v>2875572</v>
      </c>
    </row>
    <row r="8" spans="1:61" ht="15" customHeight="1" x14ac:dyDescent="0.35">
      <c r="A8" s="7" t="s">
        <v>10</v>
      </c>
      <c r="B8" s="8">
        <f>'Revenue Consolidation'!B8</f>
        <v>9834</v>
      </c>
      <c r="C8" s="8">
        <f>'Revenue Consolidation'!C8</f>
        <v>17446</v>
      </c>
      <c r="D8" s="8">
        <f>'Revenue Consolidation'!D8</f>
        <v>1741</v>
      </c>
      <c r="E8" s="8">
        <f>'Revenue Consolidation'!E8</f>
        <v>5071</v>
      </c>
      <c r="F8" s="8">
        <f>'Revenue Consolidation'!F8</f>
        <v>8989</v>
      </c>
      <c r="G8" s="8">
        <f>'Revenue Consolidation'!G8</f>
        <v>3713</v>
      </c>
      <c r="H8" s="8">
        <f>'Revenue Consolidation'!H8</f>
        <v>1799</v>
      </c>
      <c r="I8" s="8">
        <f>'Revenue Consolidation'!I8</f>
        <v>17894</v>
      </c>
      <c r="J8" s="8">
        <f>'Revenue Consolidation'!J8</f>
        <v>45360</v>
      </c>
      <c r="K8" s="8">
        <f>'Revenue Consolidation'!K8</f>
        <v>0</v>
      </c>
      <c r="L8" s="8">
        <f>'Revenue Consolidation'!L8</f>
        <v>0</v>
      </c>
      <c r="M8" s="8">
        <f>'Revenue Consolidation'!M8</f>
        <v>45360</v>
      </c>
      <c r="N8" s="8">
        <f>'Revenue Consolidation'!N8</f>
        <v>0</v>
      </c>
      <c r="O8" s="8">
        <f>'Revenue Consolidation'!O8</f>
        <v>0</v>
      </c>
      <c r="P8" s="8">
        <f>'Revenue Consolidation'!P8</f>
        <v>54431.999999999993</v>
      </c>
      <c r="Q8" s="8">
        <f>'Revenue Consolidation'!Q8</f>
        <v>0</v>
      </c>
      <c r="R8" s="8">
        <f>'Revenue Consolidation'!R8</f>
        <v>0</v>
      </c>
      <c r="S8" s="8">
        <f>'Revenue Consolidation'!S8</f>
        <v>54431.999999999993</v>
      </c>
      <c r="T8" s="8">
        <f>'Revenue Consolidation'!T8</f>
        <v>0</v>
      </c>
      <c r="U8" s="8">
        <f>'Revenue Consolidation'!U8</f>
        <v>0</v>
      </c>
      <c r="V8" s="8">
        <f>'Revenue Consolidation'!V8</f>
        <v>54431.999999999993</v>
      </c>
      <c r="W8" s="8">
        <f>'Revenue Consolidation'!W8</f>
        <v>0</v>
      </c>
      <c r="X8" s="8">
        <f>'Revenue Consolidation'!X8</f>
        <v>0</v>
      </c>
      <c r="Y8" s="8">
        <f>'Revenue Consolidation'!Y8</f>
        <v>54431.999999999993</v>
      </c>
      <c r="Z8" s="8">
        <f>'Revenue Consolidation'!Z8</f>
        <v>0</v>
      </c>
      <c r="AA8" s="8">
        <f>'Revenue Consolidation'!AA8</f>
        <v>0</v>
      </c>
      <c r="AB8" s="8">
        <f>'Revenue Consolidation'!AB8</f>
        <v>72576</v>
      </c>
      <c r="AC8" s="8">
        <f>'Revenue Consolidation'!AC8</f>
        <v>0</v>
      </c>
      <c r="AD8" s="8">
        <f>'Revenue Consolidation'!AD8</f>
        <v>0</v>
      </c>
      <c r="AE8" s="8">
        <f>'Revenue Consolidation'!AE8</f>
        <v>72576</v>
      </c>
      <c r="AF8" s="8">
        <f>'Revenue Consolidation'!AF8</f>
        <v>0</v>
      </c>
      <c r="AG8" s="8">
        <f>'Revenue Consolidation'!AG8</f>
        <v>0</v>
      </c>
      <c r="AH8" s="8">
        <f>'Revenue Consolidation'!AH8</f>
        <v>72576</v>
      </c>
      <c r="AI8" s="8">
        <f>'Revenue Consolidation'!AI8</f>
        <v>0</v>
      </c>
      <c r="AJ8" s="8">
        <f>'Revenue Consolidation'!AJ8</f>
        <v>0</v>
      </c>
      <c r="AK8" s="8">
        <f>'Revenue Consolidation'!AK8</f>
        <v>72576</v>
      </c>
      <c r="AL8" s="8">
        <f>'Revenue Consolidation'!AL8</f>
        <v>0</v>
      </c>
      <c r="AM8" s="8">
        <f>'Revenue Consolidation'!AM8</f>
        <v>0</v>
      </c>
      <c r="AN8" s="8">
        <f>'Revenue Consolidation'!AN8</f>
        <v>90720</v>
      </c>
      <c r="AO8" s="8">
        <f>'Revenue Consolidation'!AO8</f>
        <v>0</v>
      </c>
      <c r="AP8" s="8">
        <f>'Revenue Consolidation'!AP8</f>
        <v>0</v>
      </c>
      <c r="AQ8" s="8">
        <f>'Revenue Consolidation'!AQ8</f>
        <v>90720</v>
      </c>
      <c r="AR8" s="8">
        <f>'Revenue Consolidation'!AR8</f>
        <v>0</v>
      </c>
      <c r="AS8" s="8">
        <f>'Revenue Consolidation'!AS8</f>
        <v>0</v>
      </c>
      <c r="AT8" s="8">
        <f>'Revenue Consolidation'!AT8</f>
        <v>90720</v>
      </c>
      <c r="AU8" s="8">
        <f>'Revenue Consolidation'!AU8</f>
        <v>0</v>
      </c>
      <c r="AV8" s="8">
        <f>'Revenue Consolidation'!AV8</f>
        <v>0</v>
      </c>
      <c r="AW8" s="8">
        <f>'Revenue Consolidation'!AW8</f>
        <v>90720</v>
      </c>
      <c r="AX8" s="8">
        <f>'Revenue Consolidation'!AX8</f>
        <v>0</v>
      </c>
      <c r="AY8" s="8">
        <f>'Revenue Consolidation'!AY8</f>
        <v>0</v>
      </c>
      <c r="AZ8" s="8">
        <f>'Revenue Consolidation'!AZ8</f>
        <v>108863.99999999999</v>
      </c>
      <c r="BA8" s="8">
        <f>'Revenue Consolidation'!BA8</f>
        <v>0</v>
      </c>
      <c r="BB8" s="8">
        <f>'Revenue Consolidation'!BB8</f>
        <v>0</v>
      </c>
      <c r="BC8" s="8">
        <f>'Revenue Consolidation'!BC8</f>
        <v>108863.99999999999</v>
      </c>
      <c r="BD8" s="8">
        <f>'Revenue Consolidation'!BD8</f>
        <v>0</v>
      </c>
      <c r="BE8" s="8">
        <f>'Revenue Consolidation'!BE8</f>
        <v>0</v>
      </c>
      <c r="BF8" s="8">
        <f>'Revenue Consolidation'!BF8</f>
        <v>108863.99999999999</v>
      </c>
      <c r="BG8" s="8">
        <f>'Revenue Consolidation'!BG8</f>
        <v>0</v>
      </c>
      <c r="BH8" s="8">
        <f>'Revenue Consolidation'!BH8</f>
        <v>0</v>
      </c>
      <c r="BI8" s="8">
        <f>'Revenue Consolidation'!BI8</f>
        <v>108863.99999999999</v>
      </c>
    </row>
    <row r="9" spans="1:61" ht="15" customHeight="1" x14ac:dyDescent="0.35">
      <c r="A9" s="7" t="s">
        <v>11</v>
      </c>
      <c r="B9" s="8">
        <f>'Revenue Consolidation'!B9</f>
        <v>0</v>
      </c>
      <c r="C9" s="8">
        <f>'Revenue Consolidation'!C9</f>
        <v>0</v>
      </c>
      <c r="D9" s="8">
        <f>'Revenue Consolidation'!D9</f>
        <v>0</v>
      </c>
      <c r="E9" s="8">
        <f>'Revenue Consolidation'!E9</f>
        <v>0</v>
      </c>
      <c r="F9" s="8">
        <f>'Revenue Consolidation'!F9</f>
        <v>0</v>
      </c>
      <c r="G9" s="8">
        <f>'Revenue Consolidation'!G9</f>
        <v>0</v>
      </c>
      <c r="H9" s="8">
        <f>'Revenue Consolidation'!H9</f>
        <v>0</v>
      </c>
      <c r="I9" s="8">
        <f>'Revenue Consolidation'!I9</f>
        <v>0</v>
      </c>
      <c r="J9" s="8">
        <f>'Revenue Consolidation'!J9</f>
        <v>0</v>
      </c>
      <c r="K9" s="8">
        <f>'Revenue Consolidation'!K9</f>
        <v>0</v>
      </c>
      <c r="L9" s="8">
        <f>'Revenue Consolidation'!L9</f>
        <v>0</v>
      </c>
      <c r="M9" s="8">
        <f>'Revenue Consolidation'!M9</f>
        <v>0</v>
      </c>
      <c r="N9" s="8">
        <f>'Revenue Consolidation'!N9</f>
        <v>0</v>
      </c>
      <c r="O9" s="8">
        <f>'Revenue Consolidation'!O9</f>
        <v>0</v>
      </c>
      <c r="P9" s="8">
        <f>'Revenue Consolidation'!P9</f>
        <v>0</v>
      </c>
      <c r="Q9" s="8">
        <f>'Revenue Consolidation'!Q9</f>
        <v>0</v>
      </c>
      <c r="R9" s="8">
        <f>'Revenue Consolidation'!R9</f>
        <v>0</v>
      </c>
      <c r="S9" s="8">
        <f>'Revenue Consolidation'!S9</f>
        <v>0</v>
      </c>
      <c r="T9" s="8">
        <f>'Revenue Consolidation'!T9</f>
        <v>0</v>
      </c>
      <c r="U9" s="8">
        <f>'Revenue Consolidation'!U9</f>
        <v>0</v>
      </c>
      <c r="V9" s="8">
        <f>'Revenue Consolidation'!V9</f>
        <v>0</v>
      </c>
      <c r="W9" s="8">
        <f>'Revenue Consolidation'!W9</f>
        <v>0</v>
      </c>
      <c r="X9" s="8">
        <f>'Revenue Consolidation'!X9</f>
        <v>0</v>
      </c>
      <c r="Y9" s="8">
        <f>'Revenue Consolidation'!Y9</f>
        <v>0</v>
      </c>
      <c r="Z9" s="8">
        <f>'Revenue Consolidation'!Z9</f>
        <v>0</v>
      </c>
      <c r="AA9" s="8">
        <f>'Revenue Consolidation'!AA9</f>
        <v>0</v>
      </c>
      <c r="AB9" s="8">
        <f>'Revenue Consolidation'!AB9</f>
        <v>0</v>
      </c>
      <c r="AC9" s="8">
        <f>'Revenue Consolidation'!AC9</f>
        <v>0</v>
      </c>
      <c r="AD9" s="8">
        <f>'Revenue Consolidation'!AD9</f>
        <v>0</v>
      </c>
      <c r="AE9" s="8">
        <f>'Revenue Consolidation'!AE9</f>
        <v>0</v>
      </c>
      <c r="AF9" s="8">
        <f>'Revenue Consolidation'!AF9</f>
        <v>0</v>
      </c>
      <c r="AG9" s="8">
        <f>'Revenue Consolidation'!AG9</f>
        <v>0</v>
      </c>
      <c r="AH9" s="8">
        <f>'Revenue Consolidation'!AH9</f>
        <v>0</v>
      </c>
      <c r="AI9" s="8">
        <f>'Revenue Consolidation'!AI9</f>
        <v>0</v>
      </c>
      <c r="AJ9" s="8">
        <f>'Revenue Consolidation'!AJ9</f>
        <v>0</v>
      </c>
      <c r="AK9" s="8">
        <f>'Revenue Consolidation'!AK9</f>
        <v>0</v>
      </c>
      <c r="AL9" s="8">
        <f>'Revenue Consolidation'!AL9</f>
        <v>6048</v>
      </c>
      <c r="AM9" s="8">
        <f>'Revenue Consolidation'!AM9</f>
        <v>7559.9999999999991</v>
      </c>
      <c r="AN9" s="8">
        <f>'Revenue Consolidation'!AN9</f>
        <v>9072</v>
      </c>
      <c r="AO9" s="8">
        <f>'Revenue Consolidation'!AO9</f>
        <v>10584</v>
      </c>
      <c r="AP9" s="8">
        <f>'Revenue Consolidation'!AP9</f>
        <v>12096</v>
      </c>
      <c r="AQ9" s="8">
        <f>'Revenue Consolidation'!AQ9</f>
        <v>13607.999999999998</v>
      </c>
      <c r="AR9" s="8">
        <f>'Revenue Consolidation'!AR9</f>
        <v>15119.999999999998</v>
      </c>
      <c r="AS9" s="8">
        <f>'Revenue Consolidation'!AS9</f>
        <v>16632</v>
      </c>
      <c r="AT9" s="8">
        <f>'Revenue Consolidation'!AT9</f>
        <v>18144</v>
      </c>
      <c r="AU9" s="8">
        <f>'Revenue Consolidation'!AU9</f>
        <v>19656</v>
      </c>
      <c r="AV9" s="8">
        <f>'Revenue Consolidation'!AV9</f>
        <v>21168</v>
      </c>
      <c r="AW9" s="8">
        <f>'Revenue Consolidation'!AW9</f>
        <v>22680</v>
      </c>
      <c r="AX9" s="8">
        <f>'Revenue Consolidation'!AX9</f>
        <v>27215.999999999996</v>
      </c>
      <c r="AY9" s="8">
        <f>'Revenue Consolidation'!AY9</f>
        <v>28916.999999999996</v>
      </c>
      <c r="AZ9" s="8">
        <f>'Revenue Consolidation'!AZ9</f>
        <v>30617.999999999996</v>
      </c>
      <c r="BA9" s="8">
        <f>'Revenue Consolidation'!BA9</f>
        <v>32318.999999999996</v>
      </c>
      <c r="BB9" s="8">
        <f>'Revenue Consolidation'!BB9</f>
        <v>34020</v>
      </c>
      <c r="BC9" s="8">
        <f>'Revenue Consolidation'!BC9</f>
        <v>35721</v>
      </c>
      <c r="BD9" s="8">
        <f>'Revenue Consolidation'!BD9</f>
        <v>37422</v>
      </c>
      <c r="BE9" s="8">
        <f>'Revenue Consolidation'!BE9</f>
        <v>39123</v>
      </c>
      <c r="BF9" s="8">
        <f>'Revenue Consolidation'!BF9</f>
        <v>40824</v>
      </c>
      <c r="BG9" s="8">
        <f>'Revenue Consolidation'!BG9</f>
        <v>42525</v>
      </c>
      <c r="BH9" s="8">
        <f>'Revenue Consolidation'!BH9</f>
        <v>44226</v>
      </c>
      <c r="BI9" s="8">
        <f>'Revenue Consolidation'!BI9</f>
        <v>45927</v>
      </c>
    </row>
    <row r="10" spans="1:61" ht="15" customHeight="1" x14ac:dyDescent="0.35">
      <c r="A10" s="10" t="s">
        <v>12</v>
      </c>
      <c r="B10" s="11">
        <f>'Revenue Consolidation'!B10</f>
        <v>47788</v>
      </c>
      <c r="C10" s="11">
        <f>'Revenue Consolidation'!C10</f>
        <v>78807</v>
      </c>
      <c r="D10" s="11">
        <f>'Revenue Consolidation'!D10</f>
        <v>110545</v>
      </c>
      <c r="E10" s="11">
        <f>'Revenue Consolidation'!E10</f>
        <v>62593</v>
      </c>
      <c r="F10" s="11">
        <f>'Revenue Consolidation'!F10</f>
        <v>80218</v>
      </c>
      <c r="G10" s="11">
        <f>'Revenue Consolidation'!G10</f>
        <v>65493</v>
      </c>
      <c r="H10" s="11">
        <f>'Revenue Consolidation'!H10</f>
        <v>63958</v>
      </c>
      <c r="I10" s="11">
        <f>'Revenue Consolidation'!I10</f>
        <v>199351</v>
      </c>
      <c r="J10" s="11">
        <f>'Revenue Consolidation'!J10</f>
        <v>95360</v>
      </c>
      <c r="K10" s="11">
        <f>'Revenue Consolidation'!K10</f>
        <v>43722</v>
      </c>
      <c r="L10" s="11">
        <f>'Revenue Consolidation'!L10</f>
        <v>90972</v>
      </c>
      <c r="M10" s="11">
        <f>'Revenue Consolidation'!M10</f>
        <v>163674</v>
      </c>
      <c r="N10" s="11">
        <f>'Revenue Consolidation'!N10</f>
        <v>144900</v>
      </c>
      <c r="O10" s="11">
        <f>'Revenue Consolidation'!O10</f>
        <v>171108</v>
      </c>
      <c r="P10" s="11">
        <f>'Revenue Consolidation'!P10</f>
        <v>251118</v>
      </c>
      <c r="Q10" s="11">
        <f>'Revenue Consolidation'!Q10</f>
        <v>222138</v>
      </c>
      <c r="R10" s="11">
        <f>'Revenue Consolidation'!R10</f>
        <v>247464</v>
      </c>
      <c r="S10" s="11">
        <f>'Revenue Consolidation'!S10</f>
        <v>327222</v>
      </c>
      <c r="T10" s="11">
        <f>'Revenue Consolidation'!T10</f>
        <v>298494</v>
      </c>
      <c r="U10" s="11">
        <f>'Revenue Consolidation'!U10</f>
        <v>324072</v>
      </c>
      <c r="V10" s="11">
        <f>'Revenue Consolidation'!V10</f>
        <v>404712</v>
      </c>
      <c r="W10" s="11">
        <f>'Revenue Consolidation'!W10</f>
        <v>376866</v>
      </c>
      <c r="X10" s="11">
        <f>'Revenue Consolidation'!X10</f>
        <v>404082</v>
      </c>
      <c r="Y10" s="11">
        <f>'Revenue Consolidation'!Y10</f>
        <v>486486</v>
      </c>
      <c r="Z10" s="11">
        <f>'Revenue Consolidation'!Z10</f>
        <v>460656</v>
      </c>
      <c r="AA10" s="11">
        <f>'Revenue Consolidation'!AA10</f>
        <v>490140</v>
      </c>
      <c r="AB10" s="11">
        <f>'Revenue Consolidation'!AB10</f>
        <v>593334</v>
      </c>
      <c r="AC10" s="11">
        <f>'Revenue Consolidation'!AC10</f>
        <v>552384</v>
      </c>
      <c r="AD10" s="11">
        <f>'Revenue Consolidation'!AD10</f>
        <v>585270</v>
      </c>
      <c r="AE10" s="11">
        <f>'Revenue Consolidation'!AE10</f>
        <v>692118</v>
      </c>
      <c r="AF10" s="11">
        <f>'Revenue Consolidation'!AF10</f>
        <v>655074</v>
      </c>
      <c r="AG10" s="11">
        <f>'Revenue Consolidation'!AG10</f>
        <v>692244</v>
      </c>
      <c r="AH10" s="11">
        <f>'Revenue Consolidation'!AH10</f>
        <v>803502</v>
      </c>
      <c r="AI10" s="11">
        <f>'Revenue Consolidation'!AI10</f>
        <v>771372</v>
      </c>
      <c r="AJ10" s="11">
        <f>'Revenue Consolidation'!AJ10</f>
        <v>813456</v>
      </c>
      <c r="AK10" s="11">
        <f>'Revenue Consolidation'!AK10</f>
        <v>930132</v>
      </c>
      <c r="AL10" s="11">
        <f>'Revenue Consolidation'!AL10</f>
        <v>909720</v>
      </c>
      <c r="AM10" s="11">
        <f>'Revenue Consolidation'!AM10</f>
        <v>959616</v>
      </c>
      <c r="AN10" s="11">
        <f>'Revenue Consolidation'!AN10</f>
        <v>1102500</v>
      </c>
      <c r="AO10" s="11">
        <f>'Revenue Consolidation'!AO10</f>
        <v>1066212</v>
      </c>
      <c r="AP10" s="11">
        <f>'Revenue Consolidation'!AP10</f>
        <v>1123164</v>
      </c>
      <c r="AQ10" s="11">
        <f>'Revenue Consolidation'!AQ10</f>
        <v>1273608</v>
      </c>
      <c r="AR10" s="11">
        <f>'Revenue Consolidation'!AR10</f>
        <v>1245510</v>
      </c>
      <c r="AS10" s="11">
        <f>'Revenue Consolidation'!AS10</f>
        <v>1311030</v>
      </c>
      <c r="AT10" s="11">
        <f>'Revenue Consolidation'!AT10</f>
        <v>1470294</v>
      </c>
      <c r="AU10" s="11">
        <f>'Revenue Consolidation'!AU10</f>
        <v>1451520</v>
      </c>
      <c r="AV10" s="11">
        <f>'Revenue Consolidation'!AV10</f>
        <v>1526994</v>
      </c>
      <c r="AW10" s="11">
        <f>'Revenue Consolidation'!AW10</f>
        <v>1696590</v>
      </c>
      <c r="AX10" s="11">
        <f>'Revenue Consolidation'!AX10</f>
        <v>1691676</v>
      </c>
      <c r="AY10" s="11">
        <f>'Revenue Consolidation'!AY10</f>
        <v>1778931</v>
      </c>
      <c r="AZ10" s="11">
        <f>'Revenue Consolidation'!AZ10</f>
        <v>1978956</v>
      </c>
      <c r="BA10" s="11">
        <f>'Revenue Consolidation'!BA10</f>
        <v>1965915</v>
      </c>
      <c r="BB10" s="11">
        <f>'Revenue Consolidation'!BB10</f>
        <v>2066274</v>
      </c>
      <c r="BC10" s="11">
        <f>'Revenue Consolidation'!BC10</f>
        <v>2280663</v>
      </c>
      <c r="BD10" s="11">
        <f>'Revenue Consolidation'!BD10</f>
        <v>2282238</v>
      </c>
      <c r="BE10" s="11">
        <f>'Revenue Consolidation'!BE10</f>
        <v>2398095</v>
      </c>
      <c r="BF10" s="11">
        <f>'Revenue Consolidation'!BF10</f>
        <v>2628486</v>
      </c>
      <c r="BG10" s="11">
        <f>'Revenue Consolidation'!BG10</f>
        <v>2647197</v>
      </c>
      <c r="BH10" s="11">
        <f>'Revenue Consolidation'!BH10</f>
        <v>2781072</v>
      </c>
      <c r="BI10" s="11">
        <f>'Revenue Consolidation'!BI10</f>
        <v>3030363</v>
      </c>
    </row>
    <row r="12" spans="1:61" ht="15" customHeight="1" x14ac:dyDescent="0.35">
      <c r="A12" s="5" t="s">
        <v>13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</row>
    <row r="13" spans="1:61" ht="15" customHeight="1" x14ac:dyDescent="0.35">
      <c r="A13" s="7" t="s">
        <v>296</v>
      </c>
      <c r="B13" s="8">
        <f>'Revenue Consolidation'!B28</f>
        <v>11947</v>
      </c>
      <c r="C13" s="8">
        <f>'Revenue Consolidation'!C28</f>
        <v>19701.75</v>
      </c>
      <c r="D13" s="8">
        <f>'Revenue Consolidation'!D28</f>
        <v>27636.25</v>
      </c>
      <c r="E13" s="8">
        <f>'Revenue Consolidation'!E28</f>
        <v>15648.25</v>
      </c>
      <c r="F13" s="8">
        <f>'Revenue Consolidation'!F28</f>
        <v>20054.5</v>
      </c>
      <c r="G13" s="8">
        <f>'Revenue Consolidation'!G28</f>
        <v>16373.25</v>
      </c>
      <c r="H13" s="8">
        <f>'Revenue Consolidation'!H28</f>
        <v>15989.5</v>
      </c>
      <c r="I13" s="8">
        <f>'Revenue Consolidation'!I28</f>
        <v>49837.75</v>
      </c>
      <c r="J13" s="8">
        <f>'Revenue Consolidation'!J28</f>
        <v>23840</v>
      </c>
      <c r="K13" s="8">
        <f>'Revenue Consolidation'!K28</f>
        <v>10930.5</v>
      </c>
      <c r="L13" s="8">
        <f>'Revenue Consolidation'!L28</f>
        <v>22743</v>
      </c>
      <c r="M13" s="8">
        <f>'Revenue Consolidation'!M28</f>
        <v>40918.5</v>
      </c>
      <c r="N13" s="8">
        <f>'Revenue Consolidation'!N28</f>
        <v>36225</v>
      </c>
      <c r="O13" s="8">
        <f>'Revenue Consolidation'!O28</f>
        <v>42777</v>
      </c>
      <c r="P13" s="8">
        <f>'Revenue Consolidation'!P28</f>
        <v>62779.5</v>
      </c>
      <c r="Q13" s="8">
        <f>'Revenue Consolidation'!Q28</f>
        <v>55534.5</v>
      </c>
      <c r="R13" s="8">
        <f>'Revenue Consolidation'!R28</f>
        <v>61866</v>
      </c>
      <c r="S13" s="8">
        <f>'Revenue Consolidation'!S28</f>
        <v>81805.5</v>
      </c>
      <c r="T13" s="8">
        <f>'Revenue Consolidation'!T28</f>
        <v>74623.5</v>
      </c>
      <c r="U13" s="8">
        <f>'Revenue Consolidation'!U28</f>
        <v>81018</v>
      </c>
      <c r="V13" s="8">
        <f>'Revenue Consolidation'!V28</f>
        <v>101178</v>
      </c>
      <c r="W13" s="8">
        <f>'Revenue Consolidation'!W28</f>
        <v>94216.5</v>
      </c>
      <c r="X13" s="8">
        <f>'Revenue Consolidation'!X28</f>
        <v>101020.5</v>
      </c>
      <c r="Y13" s="8">
        <f>'Revenue Consolidation'!Y28</f>
        <v>121621.5</v>
      </c>
      <c r="Z13" s="8">
        <f>'Revenue Consolidation'!Z28</f>
        <v>115164</v>
      </c>
      <c r="AA13" s="8">
        <f>'Revenue Consolidation'!AA28</f>
        <v>122535</v>
      </c>
      <c r="AB13" s="8">
        <f>'Revenue Consolidation'!AB28</f>
        <v>148333.5</v>
      </c>
      <c r="AC13" s="8">
        <f>'Revenue Consolidation'!AC28</f>
        <v>138096</v>
      </c>
      <c r="AD13" s="8">
        <f>'Revenue Consolidation'!AD28</f>
        <v>146317.5</v>
      </c>
      <c r="AE13" s="8">
        <f>'Revenue Consolidation'!AE28</f>
        <v>173029.5</v>
      </c>
      <c r="AF13" s="8">
        <f>'Revenue Consolidation'!AF28</f>
        <v>163768.5</v>
      </c>
      <c r="AG13" s="8">
        <f>'Revenue Consolidation'!AG28</f>
        <v>173061</v>
      </c>
      <c r="AH13" s="8">
        <f>'Revenue Consolidation'!AH28</f>
        <v>200875.5</v>
      </c>
      <c r="AI13" s="8">
        <f>'Revenue Consolidation'!AI28</f>
        <v>192843</v>
      </c>
      <c r="AJ13" s="8">
        <f>'Revenue Consolidation'!AJ28</f>
        <v>203364</v>
      </c>
      <c r="AK13" s="8">
        <f>'Revenue Consolidation'!AK28</f>
        <v>232533</v>
      </c>
      <c r="AL13" s="8">
        <f>'Revenue Consolidation'!AL28</f>
        <v>227430</v>
      </c>
      <c r="AM13" s="8">
        <f>'Revenue Consolidation'!AM28</f>
        <v>239904</v>
      </c>
      <c r="AN13" s="8">
        <f>'Revenue Consolidation'!AN28</f>
        <v>275625</v>
      </c>
      <c r="AO13" s="8">
        <f>'Revenue Consolidation'!AO28</f>
        <v>266553</v>
      </c>
      <c r="AP13" s="8">
        <f>'Revenue Consolidation'!AP28</f>
        <v>280791</v>
      </c>
      <c r="AQ13" s="8">
        <f>'Revenue Consolidation'!AQ28</f>
        <v>318402</v>
      </c>
      <c r="AR13" s="8">
        <f>'Revenue Consolidation'!AR28</f>
        <v>311377.5</v>
      </c>
      <c r="AS13" s="8">
        <f>'Revenue Consolidation'!AS28</f>
        <v>327757.5</v>
      </c>
      <c r="AT13" s="8">
        <f>'Revenue Consolidation'!AT28</f>
        <v>367573.5</v>
      </c>
      <c r="AU13" s="8">
        <f>'Revenue Consolidation'!AU28</f>
        <v>362880</v>
      </c>
      <c r="AV13" s="8">
        <f>'Revenue Consolidation'!AV28</f>
        <v>381748.5</v>
      </c>
      <c r="AW13" s="8">
        <f>'Revenue Consolidation'!AW28</f>
        <v>424147.5</v>
      </c>
      <c r="AX13" s="8">
        <f>'Revenue Consolidation'!AX28</f>
        <v>422919</v>
      </c>
      <c r="AY13" s="8">
        <f>'Revenue Consolidation'!AY28</f>
        <v>444732.75</v>
      </c>
      <c r="AZ13" s="8">
        <f>'Revenue Consolidation'!AZ28</f>
        <v>494739</v>
      </c>
      <c r="BA13" s="8">
        <f>'Revenue Consolidation'!BA28</f>
        <v>491478.75</v>
      </c>
      <c r="BB13" s="8">
        <f>'Revenue Consolidation'!BB28</f>
        <v>516568.5</v>
      </c>
      <c r="BC13" s="8">
        <f>'Revenue Consolidation'!BC28</f>
        <v>570165.75</v>
      </c>
      <c r="BD13" s="8">
        <f>'Revenue Consolidation'!BD28</f>
        <v>570559.5</v>
      </c>
      <c r="BE13" s="8">
        <f>'Revenue Consolidation'!BE28</f>
        <v>599523.75</v>
      </c>
      <c r="BF13" s="8">
        <f>'Revenue Consolidation'!BF28</f>
        <v>657121.5</v>
      </c>
      <c r="BG13" s="8">
        <f>'Revenue Consolidation'!BG28</f>
        <v>661799.25</v>
      </c>
      <c r="BH13" s="8">
        <f>'Revenue Consolidation'!BH28</f>
        <v>695268</v>
      </c>
      <c r="BI13" s="8">
        <f>'Revenue Consolidation'!BI28</f>
        <v>757590.75</v>
      </c>
    </row>
    <row r="14" spans="1:61" ht="15" customHeight="1" x14ac:dyDescent="0.35">
      <c r="A14" s="7" t="s">
        <v>297</v>
      </c>
      <c r="B14" s="8">
        <f>'Revenue Consolidation'!B29</f>
        <v>3612</v>
      </c>
      <c r="C14" s="8">
        <f>'Revenue Consolidation'!C29</f>
        <v>5844</v>
      </c>
      <c r="D14" s="8">
        <f>'Revenue Consolidation'!D29</f>
        <v>10368</v>
      </c>
      <c r="E14" s="8">
        <f>'Revenue Consolidation'!E29</f>
        <v>5484</v>
      </c>
      <c r="F14" s="8">
        <f>'Revenue Consolidation'!F29</f>
        <v>6780</v>
      </c>
      <c r="G14" s="8">
        <f>'Revenue Consolidation'!G29</f>
        <v>5880</v>
      </c>
      <c r="H14" s="8">
        <f>'Revenue Consolidation'!H29</f>
        <v>5916</v>
      </c>
      <c r="I14" s="8">
        <f>'Revenue Consolidation'!I29</f>
        <v>17280</v>
      </c>
      <c r="J14" s="8">
        <f>'Revenue Consolidation'!J29</f>
        <v>1304</v>
      </c>
      <c r="K14" s="8">
        <f>'Revenue Consolidation'!K29</f>
        <v>4164</v>
      </c>
      <c r="L14" s="8">
        <f>'Revenue Consolidation'!L29</f>
        <v>8664</v>
      </c>
      <c r="M14" s="8">
        <f>'Revenue Consolidation'!M29</f>
        <v>11768</v>
      </c>
      <c r="N14" s="8">
        <f>'Revenue Consolidation'!N29</f>
        <v>13800</v>
      </c>
      <c r="O14" s="8">
        <f>'Revenue Consolidation'!O29</f>
        <v>16296</v>
      </c>
      <c r="P14" s="8">
        <f>'Revenue Consolidation'!P29</f>
        <v>19332</v>
      </c>
      <c r="Q14" s="8">
        <f>'Revenue Consolidation'!Q29</f>
        <v>21156</v>
      </c>
      <c r="R14" s="8">
        <f>'Revenue Consolidation'!R29</f>
        <v>23568</v>
      </c>
      <c r="S14" s="8">
        <f>'Revenue Consolidation'!S29</f>
        <v>26580</v>
      </c>
      <c r="T14" s="8">
        <f>'Revenue Consolidation'!T29</f>
        <v>28428</v>
      </c>
      <c r="U14" s="8">
        <f>'Revenue Consolidation'!U29</f>
        <v>30864</v>
      </c>
      <c r="V14" s="8">
        <f>'Revenue Consolidation'!V29</f>
        <v>33960</v>
      </c>
      <c r="W14" s="8">
        <f>'Revenue Consolidation'!W29</f>
        <v>35892</v>
      </c>
      <c r="X14" s="8">
        <f>'Revenue Consolidation'!X29</f>
        <v>38484</v>
      </c>
      <c r="Y14" s="8">
        <f>'Revenue Consolidation'!Y29</f>
        <v>41748</v>
      </c>
      <c r="Z14" s="8">
        <f>'Revenue Consolidation'!Z29</f>
        <v>43872</v>
      </c>
      <c r="AA14" s="8">
        <f>'Revenue Consolidation'!AA29</f>
        <v>46680</v>
      </c>
      <c r="AB14" s="8">
        <f>'Revenue Consolidation'!AB29</f>
        <v>50396</v>
      </c>
      <c r="AC14" s="8">
        <f>'Revenue Consolidation'!AC29</f>
        <v>52608</v>
      </c>
      <c r="AD14" s="8">
        <f>'Revenue Consolidation'!AD29</f>
        <v>55740</v>
      </c>
      <c r="AE14" s="8">
        <f>'Revenue Consolidation'!AE29</f>
        <v>59804</v>
      </c>
      <c r="AF14" s="8">
        <f>'Revenue Consolidation'!AF29</f>
        <v>62388</v>
      </c>
      <c r="AG14" s="8">
        <f>'Revenue Consolidation'!AG29</f>
        <v>65928</v>
      </c>
      <c r="AH14" s="8">
        <f>'Revenue Consolidation'!AH29</f>
        <v>70412</v>
      </c>
      <c r="AI14" s="8">
        <f>'Revenue Consolidation'!AI29</f>
        <v>73464</v>
      </c>
      <c r="AJ14" s="8">
        <f>'Revenue Consolidation'!AJ29</f>
        <v>77472</v>
      </c>
      <c r="AK14" s="8">
        <f>'Revenue Consolidation'!AK29</f>
        <v>82472</v>
      </c>
      <c r="AL14" s="8">
        <f>'Revenue Consolidation'!AL29</f>
        <v>86148</v>
      </c>
      <c r="AM14" s="8">
        <f>'Revenue Consolidation'!AM29</f>
        <v>90774</v>
      </c>
      <c r="AN14" s="8">
        <f>'Revenue Consolidation'!AN29</f>
        <v>96616</v>
      </c>
      <c r="AO14" s="8">
        <f>'Revenue Consolidation'!AO29</f>
        <v>100680</v>
      </c>
      <c r="AP14" s="8">
        <f>'Revenue Consolidation'!AP29</f>
        <v>105978</v>
      </c>
      <c r="AQ14" s="8">
        <f>'Revenue Consolidation'!AQ29</f>
        <v>112540</v>
      </c>
      <c r="AR14" s="8">
        <f>'Revenue Consolidation'!AR29</f>
        <v>117384</v>
      </c>
      <c r="AS14" s="8">
        <f>'Revenue Consolidation'!AS29</f>
        <v>123498</v>
      </c>
      <c r="AT14" s="8">
        <f>'Revenue Consolidation'!AT29</f>
        <v>130900</v>
      </c>
      <c r="AU14" s="8">
        <f>'Revenue Consolidation'!AU29</f>
        <v>136632</v>
      </c>
      <c r="AV14" s="8">
        <f>'Revenue Consolidation'!AV29</f>
        <v>143694</v>
      </c>
      <c r="AW14" s="8">
        <f>'Revenue Consolidation'!AW29</f>
        <v>152080</v>
      </c>
      <c r="AX14" s="8">
        <f>'Revenue Consolidation'!AX29</f>
        <v>158880</v>
      </c>
      <c r="AY14" s="8">
        <f>'Revenue Consolidation'!AY29</f>
        <v>167052</v>
      </c>
      <c r="AZ14" s="8">
        <f>'Revenue Consolidation'!AZ29</f>
        <v>176796</v>
      </c>
      <c r="BA14" s="8">
        <f>'Revenue Consolidation'!BA29</f>
        <v>184584</v>
      </c>
      <c r="BB14" s="8">
        <f>'Revenue Consolidation'!BB29</f>
        <v>193998</v>
      </c>
      <c r="BC14" s="8">
        <f>'Revenue Consolidation'!BC29</f>
        <v>205110</v>
      </c>
      <c r="BD14" s="8">
        <f>'Revenue Consolidation'!BD29</f>
        <v>214290</v>
      </c>
      <c r="BE14" s="8">
        <f>'Revenue Consolidation'!BE29</f>
        <v>225186</v>
      </c>
      <c r="BF14" s="8">
        <f>'Revenue Consolidation'!BF29</f>
        <v>237816</v>
      </c>
      <c r="BG14" s="8">
        <f>'Revenue Consolidation'!BG29</f>
        <v>248628</v>
      </c>
      <c r="BH14" s="8">
        <f>'Revenue Consolidation'!BH29</f>
        <v>261240</v>
      </c>
      <c r="BI14" s="8">
        <f>'Revenue Consolidation'!BI29</f>
        <v>275676</v>
      </c>
    </row>
    <row r="15" spans="1:61" ht="15" customHeight="1" x14ac:dyDescent="0.35">
      <c r="A15" s="7" t="s">
        <v>298</v>
      </c>
      <c r="B15" s="8">
        <f>'Revenue Consolidation'!B30</f>
        <v>1138.6199999999999</v>
      </c>
      <c r="C15" s="8">
        <f>'Revenue Consolidation'!C30</f>
        <v>1840.83</v>
      </c>
      <c r="D15" s="8">
        <f>'Revenue Consolidation'!D30</f>
        <v>3264.12</v>
      </c>
      <c r="E15" s="8">
        <f>'Revenue Consolidation'!E30</f>
        <v>1725.6599999999999</v>
      </c>
      <c r="F15" s="8">
        <f>'Revenue Consolidation'!F30</f>
        <v>2136.87</v>
      </c>
      <c r="G15" s="8">
        <f>'Revenue Consolidation'!G30</f>
        <v>1853.3999999999999</v>
      </c>
      <c r="H15" s="8">
        <f>'Revenue Consolidation'!H30</f>
        <v>1864.77</v>
      </c>
      <c r="I15" s="8">
        <f>'Revenue Consolidation'!I30</f>
        <v>5443.71</v>
      </c>
      <c r="J15" s="8">
        <f>'Revenue Consolidation'!J30</f>
        <v>1500</v>
      </c>
      <c r="K15" s="8">
        <f>'Revenue Consolidation'!K30</f>
        <v>1311.6599999999999</v>
      </c>
      <c r="L15" s="8">
        <f>'Revenue Consolidation'!L30</f>
        <v>2729.16</v>
      </c>
      <c r="M15" s="8">
        <f>'Revenue Consolidation'!M30</f>
        <v>3549.42</v>
      </c>
      <c r="N15" s="8">
        <f>'Revenue Consolidation'!N30</f>
        <v>4347</v>
      </c>
      <c r="O15" s="8">
        <f>'Revenue Consolidation'!O30</f>
        <v>5133.24</v>
      </c>
      <c r="P15" s="8">
        <f>'Revenue Consolidation'!P30</f>
        <v>5900.58</v>
      </c>
      <c r="Q15" s="8">
        <f>'Revenue Consolidation'!Q30</f>
        <v>6664.1399999999994</v>
      </c>
      <c r="R15" s="8">
        <f>'Revenue Consolidation'!R30</f>
        <v>7423.92</v>
      </c>
      <c r="S15" s="8">
        <f>'Revenue Consolidation'!S30</f>
        <v>8183.7</v>
      </c>
      <c r="T15" s="8">
        <f>'Revenue Consolidation'!T30</f>
        <v>8954.82</v>
      </c>
      <c r="U15" s="8">
        <f>'Revenue Consolidation'!U30</f>
        <v>9722.16</v>
      </c>
      <c r="V15" s="8">
        <f>'Revenue Consolidation'!V30</f>
        <v>10508.4</v>
      </c>
      <c r="W15" s="8">
        <f>'Revenue Consolidation'!W30</f>
        <v>11305.98</v>
      </c>
      <c r="X15" s="8">
        <f>'Revenue Consolidation'!X30</f>
        <v>12122.46</v>
      </c>
      <c r="Y15" s="8">
        <f>'Revenue Consolidation'!Y30</f>
        <v>12961.619999999999</v>
      </c>
      <c r="Z15" s="8">
        <f>'Revenue Consolidation'!Z30</f>
        <v>13819.68</v>
      </c>
      <c r="AA15" s="8">
        <f>'Revenue Consolidation'!AA30</f>
        <v>14704.199999999999</v>
      </c>
      <c r="AB15" s="8">
        <f>'Revenue Consolidation'!AB30</f>
        <v>15622.74</v>
      </c>
      <c r="AC15" s="8">
        <f>'Revenue Consolidation'!AC30</f>
        <v>16571.52</v>
      </c>
      <c r="AD15" s="8">
        <f>'Revenue Consolidation'!AD30</f>
        <v>17558.099999999999</v>
      </c>
      <c r="AE15" s="8">
        <f>'Revenue Consolidation'!AE30</f>
        <v>18586.259999999998</v>
      </c>
      <c r="AF15" s="8">
        <f>'Revenue Consolidation'!AF30</f>
        <v>19652.219999999998</v>
      </c>
      <c r="AG15" s="8">
        <f>'Revenue Consolidation'!AG30</f>
        <v>20767.32</v>
      </c>
      <c r="AH15" s="8">
        <f>'Revenue Consolidation'!AH30</f>
        <v>21927.78</v>
      </c>
      <c r="AI15" s="8">
        <f>'Revenue Consolidation'!AI30</f>
        <v>23141.16</v>
      </c>
      <c r="AJ15" s="8">
        <f>'Revenue Consolidation'!AJ30</f>
        <v>24403.68</v>
      </c>
      <c r="AK15" s="8">
        <f>'Revenue Consolidation'!AK30</f>
        <v>25726.68</v>
      </c>
      <c r="AL15" s="8">
        <f>'Revenue Consolidation'!AL30</f>
        <v>27110.16</v>
      </c>
      <c r="AM15" s="8">
        <f>'Revenue Consolidation'!AM30</f>
        <v>28561.68</v>
      </c>
      <c r="AN15" s="8">
        <f>'Revenue Consolidation'!AN30</f>
        <v>30081.239999999998</v>
      </c>
      <c r="AO15" s="8">
        <f>'Revenue Consolidation'!AO30</f>
        <v>31668.84</v>
      </c>
      <c r="AP15" s="8">
        <f>'Revenue Consolidation'!AP30</f>
        <v>33332.04</v>
      </c>
      <c r="AQ15" s="8">
        <f>'Revenue Consolidation'!AQ30</f>
        <v>35078.400000000001</v>
      </c>
      <c r="AR15" s="8">
        <f>'Revenue Consolidation'!AR30</f>
        <v>36911.699999999997</v>
      </c>
      <c r="AS15" s="8">
        <f>'Revenue Consolidation'!AS30</f>
        <v>38831.939999999995</v>
      </c>
      <c r="AT15" s="8">
        <f>'Revenue Consolidation'!AT30</f>
        <v>40842.9</v>
      </c>
      <c r="AU15" s="8">
        <f>'Revenue Consolidation'!AU30</f>
        <v>42955.92</v>
      </c>
      <c r="AV15" s="8">
        <f>'Revenue Consolidation'!AV30</f>
        <v>45174.78</v>
      </c>
      <c r="AW15" s="8">
        <f>'Revenue Consolidation'!AW30</f>
        <v>47495.7</v>
      </c>
      <c r="AX15" s="8">
        <f>'Revenue Consolidation'!AX30</f>
        <v>49933.799999999996</v>
      </c>
      <c r="AY15" s="8">
        <f>'Revenue Consolidation'!AY30</f>
        <v>52500.42</v>
      </c>
      <c r="AZ15" s="8">
        <f>'Revenue Consolidation'!AZ30</f>
        <v>55184.22</v>
      </c>
      <c r="BA15" s="8">
        <f>'Revenue Consolidation'!BA30</f>
        <v>58007.88</v>
      </c>
      <c r="BB15" s="8">
        <f>'Revenue Consolidation'!BB30</f>
        <v>60967.619999999995</v>
      </c>
      <c r="BC15" s="8">
        <f>'Revenue Consolidation'!BC30</f>
        <v>64082.34</v>
      </c>
      <c r="BD15" s="8">
        <f>'Revenue Consolidation'!BD30</f>
        <v>67344.479999999996</v>
      </c>
      <c r="BE15" s="8">
        <f>'Revenue Consolidation'!BE30</f>
        <v>70769.16</v>
      </c>
      <c r="BF15" s="8">
        <f>'Revenue Consolidation'!BF30</f>
        <v>74363.94</v>
      </c>
      <c r="BG15" s="8">
        <f>'Revenue Consolidation'!BG30</f>
        <v>78140.160000000003</v>
      </c>
      <c r="BH15" s="8">
        <f>'Revenue Consolidation'!BH30</f>
        <v>82105.37999999999</v>
      </c>
      <c r="BI15" s="8">
        <f>'Revenue Consolidation'!BI30</f>
        <v>86267.16</v>
      </c>
    </row>
    <row r="16" spans="1:61" ht="15" customHeight="1" x14ac:dyDescent="0.35">
      <c r="A16" s="10" t="s">
        <v>17</v>
      </c>
      <c r="B16" s="11">
        <f>'Revenue Consolidation'!B31</f>
        <v>16697.62</v>
      </c>
      <c r="C16" s="11">
        <f>'Revenue Consolidation'!C31</f>
        <v>27386.58</v>
      </c>
      <c r="D16" s="11">
        <f>'Revenue Consolidation'!D31</f>
        <v>41268.370000000003</v>
      </c>
      <c r="E16" s="11">
        <f>'Revenue Consolidation'!E31</f>
        <v>22857.91</v>
      </c>
      <c r="F16" s="11">
        <f>'Revenue Consolidation'!F31</f>
        <v>28971.37</v>
      </c>
      <c r="G16" s="11">
        <f>'Revenue Consolidation'!G31</f>
        <v>24106.65</v>
      </c>
      <c r="H16" s="11">
        <f>'Revenue Consolidation'!H31</f>
        <v>23770.27</v>
      </c>
      <c r="I16" s="11">
        <f>'Revenue Consolidation'!I31</f>
        <v>72561.460000000006</v>
      </c>
      <c r="J16" s="11">
        <f>'Revenue Consolidation'!J31</f>
        <v>26644</v>
      </c>
      <c r="K16" s="11">
        <f>'Revenue Consolidation'!K31</f>
        <v>16406.16</v>
      </c>
      <c r="L16" s="11">
        <f>'Revenue Consolidation'!L31</f>
        <v>34136.160000000003</v>
      </c>
      <c r="M16" s="11">
        <f>'Revenue Consolidation'!M31</f>
        <v>56235.92</v>
      </c>
      <c r="N16" s="11">
        <f>'Revenue Consolidation'!N31</f>
        <v>54372</v>
      </c>
      <c r="O16" s="11">
        <f>'Revenue Consolidation'!O31</f>
        <v>64206.239999999998</v>
      </c>
      <c r="P16" s="11">
        <f>'Revenue Consolidation'!P31</f>
        <v>88012.08</v>
      </c>
      <c r="Q16" s="11">
        <f>'Revenue Consolidation'!Q31</f>
        <v>83354.64</v>
      </c>
      <c r="R16" s="11">
        <f>'Revenue Consolidation'!R31</f>
        <v>92857.919999999998</v>
      </c>
      <c r="S16" s="11">
        <f>'Revenue Consolidation'!S31</f>
        <v>116569.2</v>
      </c>
      <c r="T16" s="11">
        <f>'Revenue Consolidation'!T31</f>
        <v>112006.32</v>
      </c>
      <c r="U16" s="11">
        <f>'Revenue Consolidation'!U31</f>
        <v>121604.16</v>
      </c>
      <c r="V16" s="11">
        <f>'Revenue Consolidation'!V31</f>
        <v>145646.39999999999</v>
      </c>
      <c r="W16" s="11">
        <f>'Revenue Consolidation'!W31</f>
        <v>141414.48000000001</v>
      </c>
      <c r="X16" s="11">
        <f>'Revenue Consolidation'!X31</f>
        <v>151626.96</v>
      </c>
      <c r="Y16" s="11">
        <f>'Revenue Consolidation'!Y31</f>
        <v>176331.12</v>
      </c>
      <c r="Z16" s="11">
        <f>'Revenue Consolidation'!Z31</f>
        <v>172855.67999999999</v>
      </c>
      <c r="AA16" s="11">
        <f>'Revenue Consolidation'!AA31</f>
        <v>183919.2</v>
      </c>
      <c r="AB16" s="11">
        <f>'Revenue Consolidation'!AB31</f>
        <v>214352.24</v>
      </c>
      <c r="AC16" s="11">
        <f>'Revenue Consolidation'!AC31</f>
        <v>207275.51999999999</v>
      </c>
      <c r="AD16" s="11">
        <f>'Revenue Consolidation'!AD31</f>
        <v>219615.6</v>
      </c>
      <c r="AE16" s="11">
        <f>'Revenue Consolidation'!AE31</f>
        <v>251419.76</v>
      </c>
      <c r="AF16" s="11">
        <f>'Revenue Consolidation'!AF31</f>
        <v>245808.72</v>
      </c>
      <c r="AG16" s="11">
        <f>'Revenue Consolidation'!AG31</f>
        <v>259756.32</v>
      </c>
      <c r="AH16" s="11">
        <f>'Revenue Consolidation'!AH31</f>
        <v>293215.28000000003</v>
      </c>
      <c r="AI16" s="11">
        <f>'Revenue Consolidation'!AI31</f>
        <v>289448.15999999997</v>
      </c>
      <c r="AJ16" s="11">
        <f>'Revenue Consolidation'!AJ31</f>
        <v>305239.67999999999</v>
      </c>
      <c r="AK16" s="11">
        <f>'Revenue Consolidation'!AK31</f>
        <v>340731.68</v>
      </c>
      <c r="AL16" s="11">
        <f>'Revenue Consolidation'!AL31</f>
        <v>340688.16</v>
      </c>
      <c r="AM16" s="11">
        <f>'Revenue Consolidation'!AM31</f>
        <v>359239.67999999999</v>
      </c>
      <c r="AN16" s="11">
        <f>'Revenue Consolidation'!AN31</f>
        <v>402322.24</v>
      </c>
      <c r="AO16" s="11">
        <f>'Revenue Consolidation'!AO31</f>
        <v>398901.84</v>
      </c>
      <c r="AP16" s="11">
        <f>'Revenue Consolidation'!AP31</f>
        <v>420101.04</v>
      </c>
      <c r="AQ16" s="11">
        <f>'Revenue Consolidation'!AQ31</f>
        <v>466020.4</v>
      </c>
      <c r="AR16" s="11">
        <f>'Revenue Consolidation'!AR31</f>
        <v>465673.2</v>
      </c>
      <c r="AS16" s="11">
        <f>'Revenue Consolidation'!AS31</f>
        <v>490087.44</v>
      </c>
      <c r="AT16" s="11">
        <f>'Revenue Consolidation'!AT31</f>
        <v>539316.4</v>
      </c>
      <c r="AU16" s="11">
        <f>'Revenue Consolidation'!AU31</f>
        <v>542467.92000000004</v>
      </c>
      <c r="AV16" s="11">
        <f>'Revenue Consolidation'!AV31</f>
        <v>570617.28</v>
      </c>
      <c r="AW16" s="11">
        <f>'Revenue Consolidation'!AW31</f>
        <v>623723.19999999995</v>
      </c>
      <c r="AX16" s="11">
        <f>'Revenue Consolidation'!AX31</f>
        <v>631732.80000000005</v>
      </c>
      <c r="AY16" s="11">
        <f>'Revenue Consolidation'!AY31</f>
        <v>664285.17000000004</v>
      </c>
      <c r="AZ16" s="11">
        <f>'Revenue Consolidation'!AZ31</f>
        <v>726719.22</v>
      </c>
      <c r="BA16" s="11">
        <f>'Revenue Consolidation'!BA31</f>
        <v>734070.63</v>
      </c>
      <c r="BB16" s="11">
        <f>'Revenue Consolidation'!BB31</f>
        <v>771534.12</v>
      </c>
      <c r="BC16" s="11">
        <f>'Revenue Consolidation'!BC31</f>
        <v>839358.09</v>
      </c>
      <c r="BD16" s="11">
        <f>'Revenue Consolidation'!BD31</f>
        <v>852193.98</v>
      </c>
      <c r="BE16" s="11">
        <f>'Revenue Consolidation'!BE31</f>
        <v>895478.91</v>
      </c>
      <c r="BF16" s="11">
        <f>'Revenue Consolidation'!BF31</f>
        <v>969301.44</v>
      </c>
      <c r="BG16" s="11">
        <f>'Revenue Consolidation'!BG31</f>
        <v>988567.41</v>
      </c>
      <c r="BH16" s="11">
        <f>'Revenue Consolidation'!BH31</f>
        <v>1038613.38</v>
      </c>
      <c r="BI16" s="11">
        <f>'Revenue Consolidation'!BI31</f>
        <v>1119533.9099999999</v>
      </c>
    </row>
    <row r="18" spans="1:61" ht="15" customHeight="1" x14ac:dyDescent="0.35">
      <c r="A18" s="10" t="s">
        <v>18</v>
      </c>
      <c r="B18" s="14">
        <f t="shared" ref="B18:AG18" si="0">B10-B16</f>
        <v>31090.38</v>
      </c>
      <c r="C18" s="14">
        <f t="shared" si="0"/>
        <v>51420.42</v>
      </c>
      <c r="D18" s="14">
        <f t="shared" si="0"/>
        <v>69276.63</v>
      </c>
      <c r="E18" s="14">
        <f t="shared" si="0"/>
        <v>39735.089999999997</v>
      </c>
      <c r="F18" s="14">
        <f t="shared" si="0"/>
        <v>51246.630000000005</v>
      </c>
      <c r="G18" s="14">
        <f t="shared" si="0"/>
        <v>41386.35</v>
      </c>
      <c r="H18" s="14">
        <f t="shared" si="0"/>
        <v>40187.729999999996</v>
      </c>
      <c r="I18" s="14">
        <f t="shared" si="0"/>
        <v>126789.54</v>
      </c>
      <c r="J18" s="14">
        <f t="shared" si="0"/>
        <v>68716</v>
      </c>
      <c r="K18" s="14">
        <f t="shared" si="0"/>
        <v>27315.84</v>
      </c>
      <c r="L18" s="14">
        <f t="shared" si="0"/>
        <v>56835.839999999997</v>
      </c>
      <c r="M18" s="14">
        <f t="shared" si="0"/>
        <v>107438.08</v>
      </c>
      <c r="N18" s="14">
        <f t="shared" si="0"/>
        <v>90528</v>
      </c>
      <c r="O18" s="14">
        <f t="shared" si="0"/>
        <v>106901.76000000001</v>
      </c>
      <c r="P18" s="14">
        <f t="shared" si="0"/>
        <v>163105.91999999998</v>
      </c>
      <c r="Q18" s="14">
        <f t="shared" si="0"/>
        <v>138783.35999999999</v>
      </c>
      <c r="R18" s="14">
        <f t="shared" si="0"/>
        <v>154606.08000000002</v>
      </c>
      <c r="S18" s="14">
        <f t="shared" si="0"/>
        <v>210652.79999999999</v>
      </c>
      <c r="T18" s="14">
        <f t="shared" si="0"/>
        <v>186487.67999999999</v>
      </c>
      <c r="U18" s="14">
        <f t="shared" si="0"/>
        <v>202467.84</v>
      </c>
      <c r="V18" s="14">
        <f t="shared" si="0"/>
        <v>259065.60000000001</v>
      </c>
      <c r="W18" s="14">
        <f t="shared" si="0"/>
        <v>235451.51999999999</v>
      </c>
      <c r="X18" s="14">
        <f t="shared" si="0"/>
        <v>252455.04000000001</v>
      </c>
      <c r="Y18" s="14">
        <f t="shared" si="0"/>
        <v>310154.88</v>
      </c>
      <c r="Z18" s="14">
        <f t="shared" si="0"/>
        <v>287800.32000000001</v>
      </c>
      <c r="AA18" s="14">
        <f t="shared" si="0"/>
        <v>306220.79999999999</v>
      </c>
      <c r="AB18" s="14">
        <f t="shared" si="0"/>
        <v>378981.76</v>
      </c>
      <c r="AC18" s="14">
        <f t="shared" si="0"/>
        <v>345108.47999999998</v>
      </c>
      <c r="AD18" s="14">
        <f t="shared" si="0"/>
        <v>365654.4</v>
      </c>
      <c r="AE18" s="14">
        <f t="shared" si="0"/>
        <v>440698.24</v>
      </c>
      <c r="AF18" s="14">
        <f t="shared" si="0"/>
        <v>409265.28</v>
      </c>
      <c r="AG18" s="14">
        <f t="shared" si="0"/>
        <v>432487.67999999999</v>
      </c>
      <c r="AH18" s="14">
        <f t="shared" ref="AH18:BI18" si="1">AH10-AH16</f>
        <v>510286.72</v>
      </c>
      <c r="AI18" s="14">
        <f t="shared" si="1"/>
        <v>481923.84000000003</v>
      </c>
      <c r="AJ18" s="14">
        <f t="shared" si="1"/>
        <v>508216.32000000001</v>
      </c>
      <c r="AK18" s="14">
        <f t="shared" si="1"/>
        <v>589400.32000000007</v>
      </c>
      <c r="AL18" s="14">
        <f t="shared" si="1"/>
        <v>569031.84000000008</v>
      </c>
      <c r="AM18" s="14">
        <f t="shared" si="1"/>
        <v>600376.32000000007</v>
      </c>
      <c r="AN18" s="14">
        <f t="shared" si="1"/>
        <v>700177.76</v>
      </c>
      <c r="AO18" s="14">
        <f t="shared" si="1"/>
        <v>667310.15999999992</v>
      </c>
      <c r="AP18" s="14">
        <f t="shared" si="1"/>
        <v>703062.96</v>
      </c>
      <c r="AQ18" s="14">
        <f t="shared" si="1"/>
        <v>807587.6</v>
      </c>
      <c r="AR18" s="14">
        <f t="shared" si="1"/>
        <v>779836.8</v>
      </c>
      <c r="AS18" s="14">
        <f t="shared" si="1"/>
        <v>820942.56</v>
      </c>
      <c r="AT18" s="14">
        <f t="shared" si="1"/>
        <v>930977.6</v>
      </c>
      <c r="AU18" s="14">
        <f t="shared" si="1"/>
        <v>909052.08</v>
      </c>
      <c r="AV18" s="14">
        <f t="shared" si="1"/>
        <v>956376.72</v>
      </c>
      <c r="AW18" s="14">
        <f t="shared" si="1"/>
        <v>1072866.8</v>
      </c>
      <c r="AX18" s="14">
        <f t="shared" si="1"/>
        <v>1059943.2</v>
      </c>
      <c r="AY18" s="14">
        <f t="shared" si="1"/>
        <v>1114645.83</v>
      </c>
      <c r="AZ18" s="14">
        <f t="shared" si="1"/>
        <v>1252236.78</v>
      </c>
      <c r="BA18" s="14">
        <f t="shared" si="1"/>
        <v>1231844.3700000001</v>
      </c>
      <c r="BB18" s="14">
        <f t="shared" si="1"/>
        <v>1294739.8799999999</v>
      </c>
      <c r="BC18" s="14">
        <f t="shared" si="1"/>
        <v>1441304.9100000001</v>
      </c>
      <c r="BD18" s="14">
        <f t="shared" si="1"/>
        <v>1430044.02</v>
      </c>
      <c r="BE18" s="14">
        <f t="shared" si="1"/>
        <v>1502616.0899999999</v>
      </c>
      <c r="BF18" s="14">
        <f t="shared" si="1"/>
        <v>1659184.56</v>
      </c>
      <c r="BG18" s="14">
        <f t="shared" si="1"/>
        <v>1658629.5899999999</v>
      </c>
      <c r="BH18" s="14">
        <f t="shared" si="1"/>
        <v>1742458.62</v>
      </c>
      <c r="BI18" s="14">
        <f t="shared" si="1"/>
        <v>1910829.09</v>
      </c>
    </row>
    <row r="19" spans="1:61" ht="15" customHeight="1" x14ac:dyDescent="0.35">
      <c r="A19" s="16" t="s">
        <v>19</v>
      </c>
      <c r="B19" s="15">
        <f t="shared" ref="B19:AG19" si="2">IF(B10=0,0,B18/B10)</f>
        <v>0.65058968778772919</v>
      </c>
      <c r="C19" s="15">
        <f t="shared" si="2"/>
        <v>0.65248543911073886</v>
      </c>
      <c r="D19" s="15">
        <f t="shared" si="2"/>
        <v>0.62668261793839619</v>
      </c>
      <c r="E19" s="15">
        <f t="shared" si="2"/>
        <v>0.63481683255316079</v>
      </c>
      <c r="F19" s="15">
        <f t="shared" si="2"/>
        <v>0.63884203046697752</v>
      </c>
      <c r="G19" s="15">
        <f t="shared" si="2"/>
        <v>0.63192020521277081</v>
      </c>
      <c r="H19" s="15">
        <f t="shared" si="2"/>
        <v>0.62834563307170321</v>
      </c>
      <c r="I19" s="15">
        <f t="shared" si="2"/>
        <v>0.63601155750410077</v>
      </c>
      <c r="J19" s="15">
        <f t="shared" si="2"/>
        <v>0.72059563758389267</v>
      </c>
      <c r="K19" s="15">
        <f t="shared" si="2"/>
        <v>0.62476190476190474</v>
      </c>
      <c r="L19" s="15">
        <f t="shared" si="2"/>
        <v>0.62476190476190474</v>
      </c>
      <c r="M19" s="15">
        <f t="shared" si="2"/>
        <v>0.65641506897857937</v>
      </c>
      <c r="N19" s="15">
        <f t="shared" si="2"/>
        <v>0.62476190476190474</v>
      </c>
      <c r="O19" s="15">
        <f t="shared" si="2"/>
        <v>0.62476190476190485</v>
      </c>
      <c r="P19" s="15">
        <f t="shared" si="2"/>
        <v>0.64951903089384266</v>
      </c>
      <c r="Q19" s="15">
        <f t="shared" si="2"/>
        <v>0.62476190476190474</v>
      </c>
      <c r="R19" s="15">
        <f t="shared" si="2"/>
        <v>0.62476190476190485</v>
      </c>
      <c r="S19" s="15">
        <f t="shared" si="2"/>
        <v>0.64376111630636079</v>
      </c>
      <c r="T19" s="15">
        <f t="shared" si="2"/>
        <v>0.62476190476190474</v>
      </c>
      <c r="U19" s="15">
        <f t="shared" si="2"/>
        <v>0.62476190476190474</v>
      </c>
      <c r="V19" s="15">
        <f t="shared" si="2"/>
        <v>0.64012334697266204</v>
      </c>
      <c r="W19" s="15">
        <f t="shared" si="2"/>
        <v>0.62476190476190474</v>
      </c>
      <c r="X19" s="15">
        <f t="shared" si="2"/>
        <v>0.62476190476190474</v>
      </c>
      <c r="Y19" s="15">
        <f t="shared" si="2"/>
        <v>0.63754122420789083</v>
      </c>
      <c r="Z19" s="15">
        <f t="shared" si="2"/>
        <v>0.62476190476190474</v>
      </c>
      <c r="AA19" s="15">
        <f t="shared" si="2"/>
        <v>0.62476190476190474</v>
      </c>
      <c r="AB19" s="15">
        <f t="shared" si="2"/>
        <v>0.63873258569372393</v>
      </c>
      <c r="AC19" s="15">
        <f t="shared" si="2"/>
        <v>0.62476190476190474</v>
      </c>
      <c r="AD19" s="15">
        <f t="shared" si="2"/>
        <v>0.62476190476190485</v>
      </c>
      <c r="AE19" s="15">
        <f t="shared" si="2"/>
        <v>0.63673859081832862</v>
      </c>
      <c r="AF19" s="15">
        <f t="shared" si="2"/>
        <v>0.62476190476190485</v>
      </c>
      <c r="AG19" s="15">
        <f t="shared" si="2"/>
        <v>0.62476190476190474</v>
      </c>
      <c r="AH19" s="15">
        <f t="shared" ref="AH19:BI19" si="3">IF(AH10=0,0,AH18/AH10)</f>
        <v>0.63507834454674661</v>
      </c>
      <c r="AI19" s="15">
        <f t="shared" si="3"/>
        <v>0.62476190476190474</v>
      </c>
      <c r="AJ19" s="15">
        <f t="shared" si="3"/>
        <v>0.62476190476190474</v>
      </c>
      <c r="AK19" s="15">
        <f t="shared" si="3"/>
        <v>0.6336738441425519</v>
      </c>
      <c r="AL19" s="15">
        <f t="shared" si="3"/>
        <v>0.6255021764938663</v>
      </c>
      <c r="AM19" s="15">
        <f t="shared" si="3"/>
        <v>0.62564225690276121</v>
      </c>
      <c r="AN19" s="15">
        <f t="shared" si="3"/>
        <v>0.63508186848072568</v>
      </c>
      <c r="AO19" s="15">
        <f t="shared" si="3"/>
        <v>0.62587005210971169</v>
      </c>
      <c r="AP19" s="15">
        <f t="shared" si="3"/>
        <v>0.62596643054798762</v>
      </c>
      <c r="AQ19" s="15">
        <f t="shared" si="3"/>
        <v>0.6340943210155715</v>
      </c>
      <c r="AR19" s="15">
        <f t="shared" si="3"/>
        <v>0.6261184574993377</v>
      </c>
      <c r="AS19" s="15">
        <f t="shared" si="3"/>
        <v>0.62618136884739484</v>
      </c>
      <c r="AT19" s="15">
        <f t="shared" si="3"/>
        <v>0.63319145694670587</v>
      </c>
      <c r="AU19" s="15">
        <f t="shared" si="3"/>
        <v>0.626275958994709</v>
      </c>
      <c r="AV19" s="15">
        <f t="shared" si="3"/>
        <v>0.62631334504261316</v>
      </c>
      <c r="AW19" s="15">
        <f t="shared" si="3"/>
        <v>0.63236657059159851</v>
      </c>
      <c r="AX19" s="15">
        <f t="shared" si="3"/>
        <v>0.62656395196243253</v>
      </c>
      <c r="AY19" s="15">
        <f t="shared" si="3"/>
        <v>0.6265818235783176</v>
      </c>
      <c r="AZ19" s="15">
        <f t="shared" si="3"/>
        <v>0.63277646395372111</v>
      </c>
      <c r="BA19" s="15">
        <f t="shared" si="3"/>
        <v>0.62660103310672133</v>
      </c>
      <c r="BB19" s="15">
        <f t="shared" si="3"/>
        <v>0.6266060938675122</v>
      </c>
      <c r="BC19" s="15">
        <f t="shared" si="3"/>
        <v>0.63196750681709668</v>
      </c>
      <c r="BD19" s="15">
        <f t="shared" si="3"/>
        <v>0.62659723481950613</v>
      </c>
      <c r="BE19" s="15">
        <f t="shared" si="3"/>
        <v>0.62658739124179808</v>
      </c>
      <c r="BF19" s="15">
        <f t="shared" si="3"/>
        <v>0.63123203243235837</v>
      </c>
      <c r="BG19" s="15">
        <f t="shared" si="3"/>
        <v>0.62656069419842941</v>
      </c>
      <c r="BH19" s="15">
        <f t="shared" si="3"/>
        <v>0.62654207442310017</v>
      </c>
      <c r="BI19" s="15">
        <f t="shared" si="3"/>
        <v>0.63056112089541749</v>
      </c>
    </row>
    <row r="21" spans="1:61" ht="15" customHeight="1" x14ac:dyDescent="0.35">
      <c r="A21" s="5" t="s">
        <v>20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</row>
    <row r="22" spans="1:61" ht="15" customHeight="1" x14ac:dyDescent="0.35">
      <c r="A22" s="7" t="s">
        <v>299</v>
      </c>
      <c r="B22" s="8">
        <f>'DTC Revenue'!B11</f>
        <v>0</v>
      </c>
      <c r="C22" s="8">
        <f>'DTC Revenue'!C11</f>
        <v>0</v>
      </c>
      <c r="D22" s="8">
        <f>'DTC Revenue'!D11</f>
        <v>0</v>
      </c>
      <c r="E22" s="8">
        <f>'DTC Revenue'!E11</f>
        <v>0</v>
      </c>
      <c r="F22" s="8">
        <f>'DTC Revenue'!F11</f>
        <v>0</v>
      </c>
      <c r="G22" s="8">
        <f>'DTC Revenue'!G11</f>
        <v>0</v>
      </c>
      <c r="H22" s="8">
        <f>'DTC Revenue'!H11</f>
        <v>0</v>
      </c>
      <c r="I22" s="8">
        <f>'DTC Revenue'!I11</f>
        <v>0</v>
      </c>
      <c r="J22" s="8">
        <f>'DTC Revenue'!J11</f>
        <v>0</v>
      </c>
      <c r="K22" s="8">
        <f>'DTC Revenue'!K11</f>
        <v>10000</v>
      </c>
      <c r="L22" s="8">
        <f>'DTC Revenue'!L11</f>
        <v>21000</v>
      </c>
      <c r="M22" s="8">
        <f>'DTC Revenue'!M11</f>
        <v>22050</v>
      </c>
      <c r="N22" s="8">
        <f>'DTC Revenue'!N11</f>
        <v>23152.5</v>
      </c>
      <c r="O22" s="8">
        <f>'DTC Revenue'!O11</f>
        <v>24310.125</v>
      </c>
      <c r="P22" s="8">
        <f>'DTC Revenue'!P11</f>
        <v>25525.631250000002</v>
      </c>
      <c r="Q22" s="8">
        <f>'DTC Revenue'!Q11</f>
        <v>26801.912812500002</v>
      </c>
      <c r="R22" s="8">
        <f>'DTC Revenue'!R11</f>
        <v>28142.008453125003</v>
      </c>
      <c r="S22" s="8">
        <f>'DTC Revenue'!S11</f>
        <v>29549.108875781254</v>
      </c>
      <c r="T22" s="8">
        <f>'DTC Revenue'!T11</f>
        <v>31026.56431957032</v>
      </c>
      <c r="U22" s="8">
        <f>'DTC Revenue'!U11</f>
        <v>32577.892535548835</v>
      </c>
      <c r="V22" s="8">
        <f>'DTC Revenue'!V11</f>
        <v>34206.787162326276</v>
      </c>
      <c r="W22" s="8">
        <f>'DTC Revenue'!W11</f>
        <v>35917.126520442594</v>
      </c>
      <c r="X22" s="8">
        <f>'DTC Revenue'!X11</f>
        <v>37712.982846464729</v>
      </c>
      <c r="Y22" s="8">
        <f>'DTC Revenue'!Y11</f>
        <v>39598.631988787965</v>
      </c>
      <c r="Z22" s="8">
        <f>'DTC Revenue'!Z11</f>
        <v>41578.563588227364</v>
      </c>
      <c r="AA22" s="8">
        <f>'DTC Revenue'!AA11</f>
        <v>43657.491767638734</v>
      </c>
      <c r="AB22" s="8">
        <f>'DTC Revenue'!AB11</f>
        <v>45840.36635602067</v>
      </c>
      <c r="AC22" s="8">
        <f>'DTC Revenue'!AC11</f>
        <v>48132.384673821703</v>
      </c>
      <c r="AD22" s="8">
        <f>'DTC Revenue'!AD11</f>
        <v>50539.003907512793</v>
      </c>
      <c r="AE22" s="8">
        <f>'DTC Revenue'!AE11</f>
        <v>53065.954102888434</v>
      </c>
      <c r="AF22" s="8">
        <f>'DTC Revenue'!AF11</f>
        <v>55719.251808032859</v>
      </c>
      <c r="AG22" s="8">
        <f>'DTC Revenue'!AG11</f>
        <v>58505.214398434502</v>
      </c>
      <c r="AH22" s="8">
        <f>'DTC Revenue'!AH11</f>
        <v>61430.475118356233</v>
      </c>
      <c r="AI22" s="8">
        <f>'DTC Revenue'!AI11</f>
        <v>64501.998874274046</v>
      </c>
      <c r="AJ22" s="8">
        <f>'DTC Revenue'!AJ11</f>
        <v>67727.098817987746</v>
      </c>
      <c r="AK22" s="8">
        <f>'DTC Revenue'!AK11</f>
        <v>71113.453758887132</v>
      </c>
      <c r="AL22" s="8">
        <f>'DTC Revenue'!AL11</f>
        <v>74669.126446831491</v>
      </c>
      <c r="AM22" s="8">
        <f>'DTC Revenue'!AM11</f>
        <v>78402.582769173066</v>
      </c>
      <c r="AN22" s="8">
        <f>'DTC Revenue'!AN11</f>
        <v>82322.711907631718</v>
      </c>
      <c r="AO22" s="8">
        <f>'DTC Revenue'!AO11</f>
        <v>86438.847503013312</v>
      </c>
      <c r="AP22" s="8">
        <f>'DTC Revenue'!AP11</f>
        <v>90760.789878163981</v>
      </c>
      <c r="AQ22" s="8">
        <f>'DTC Revenue'!AQ11</f>
        <v>95298.829372072185</v>
      </c>
      <c r="AR22" s="8">
        <f>'DTC Revenue'!AR11</f>
        <v>100063.7708406758</v>
      </c>
      <c r="AS22" s="8">
        <f>'DTC Revenue'!AS11</f>
        <v>105066.9593827096</v>
      </c>
      <c r="AT22" s="8">
        <f>'DTC Revenue'!AT11</f>
        <v>110320.30735184508</v>
      </c>
      <c r="AU22" s="8">
        <f>'DTC Revenue'!AU11</f>
        <v>115836.32271943735</v>
      </c>
      <c r="AV22" s="8">
        <f>'DTC Revenue'!AV11</f>
        <v>121628.13885540923</v>
      </c>
      <c r="AW22" s="8">
        <f>'DTC Revenue'!AW11</f>
        <v>127709.54579817969</v>
      </c>
      <c r="AX22" s="8">
        <f>'DTC Revenue'!AX11</f>
        <v>134095.0230880887</v>
      </c>
      <c r="AY22" s="8">
        <f>'DTC Revenue'!AY11</f>
        <v>140799.77424249315</v>
      </c>
      <c r="AZ22" s="8">
        <f>'DTC Revenue'!AZ11</f>
        <v>147839.76295461782</v>
      </c>
      <c r="BA22" s="8">
        <f>'DTC Revenue'!BA11</f>
        <v>155231.75110234873</v>
      </c>
      <c r="BB22" s="8">
        <f>'DTC Revenue'!BB11</f>
        <v>162993.33865746617</v>
      </c>
      <c r="BC22" s="8">
        <f>'DTC Revenue'!BC11</f>
        <v>171143.00559033948</v>
      </c>
      <c r="BD22" s="8">
        <f>'DTC Revenue'!BD11</f>
        <v>179700.15586985648</v>
      </c>
      <c r="BE22" s="8">
        <f>'DTC Revenue'!BE11</f>
        <v>188685.16366334932</v>
      </c>
      <c r="BF22" s="8">
        <f>'DTC Revenue'!BF11</f>
        <v>198119.42184651678</v>
      </c>
      <c r="BG22" s="8">
        <f>'DTC Revenue'!BG11</f>
        <v>208025.39293884262</v>
      </c>
      <c r="BH22" s="8">
        <f>'DTC Revenue'!BH11</f>
        <v>218426.66258578477</v>
      </c>
      <c r="BI22" s="8">
        <f>'DTC Revenue'!BI11</f>
        <v>229347.99571507401</v>
      </c>
    </row>
    <row r="23" spans="1:61" ht="15" customHeight="1" x14ac:dyDescent="0.35">
      <c r="A23" s="7" t="s">
        <v>22</v>
      </c>
      <c r="B23" s="9">
        <f>'Drivers &amp; Assumptions'!C43*(1+'Drivers &amp; Assumptions'!C44)^0</f>
        <v>15000</v>
      </c>
      <c r="C23" s="9">
        <f>'Drivers &amp; Assumptions'!C43*(1+'Drivers &amp; Assumptions'!C44)^0</f>
        <v>15000</v>
      </c>
      <c r="D23" s="9">
        <f>'Drivers &amp; Assumptions'!C43*(1+'Drivers &amp; Assumptions'!C44)^0</f>
        <v>15000</v>
      </c>
      <c r="E23" s="9">
        <f>'Drivers &amp; Assumptions'!C43*(1+'Drivers &amp; Assumptions'!C44)^0</f>
        <v>15000</v>
      </c>
      <c r="F23" s="9">
        <f>'Drivers &amp; Assumptions'!C43*(1+'Drivers &amp; Assumptions'!C44)^0</f>
        <v>15000</v>
      </c>
      <c r="G23" s="9">
        <f>'Drivers &amp; Assumptions'!C43*(1+'Drivers &amp; Assumptions'!C44)^0</f>
        <v>15000</v>
      </c>
      <c r="H23" s="9">
        <f>'Drivers &amp; Assumptions'!C43*(1+'Drivers &amp; Assumptions'!C44)^0</f>
        <v>15000</v>
      </c>
      <c r="I23" s="9">
        <f>'Drivers &amp; Assumptions'!C43*(1+'Drivers &amp; Assumptions'!C44)^0</f>
        <v>15000</v>
      </c>
      <c r="J23" s="9">
        <f>'Drivers &amp; Assumptions'!C43*(1+'Drivers &amp; Assumptions'!C44)^0</f>
        <v>15000</v>
      </c>
      <c r="K23" s="9">
        <f>'Drivers &amp; Assumptions'!C43*(1+'Drivers &amp; Assumptions'!C44)^0</f>
        <v>15000</v>
      </c>
      <c r="L23" s="9">
        <f>'Drivers &amp; Assumptions'!C43*(1+'Drivers &amp; Assumptions'!C44)^0</f>
        <v>15000</v>
      </c>
      <c r="M23" s="9">
        <f>'Drivers &amp; Assumptions'!C43*(1+'Drivers &amp; Assumptions'!C44)^0</f>
        <v>15000</v>
      </c>
      <c r="N23" s="9">
        <f>'Drivers &amp; Assumptions'!C43*(1+'Drivers &amp; Assumptions'!C44)^1</f>
        <v>16500</v>
      </c>
      <c r="O23" s="9">
        <f>'Drivers &amp; Assumptions'!C43*(1+'Drivers &amp; Assumptions'!C44)^1</f>
        <v>16500</v>
      </c>
      <c r="P23" s="9">
        <f>'Drivers &amp; Assumptions'!C43*(1+'Drivers &amp; Assumptions'!C44)^1</f>
        <v>16500</v>
      </c>
      <c r="Q23" s="9">
        <f>'Drivers &amp; Assumptions'!C43*(1+'Drivers &amp; Assumptions'!C44)^1</f>
        <v>16500</v>
      </c>
      <c r="R23" s="9">
        <f>'Drivers &amp; Assumptions'!C43*(1+'Drivers &amp; Assumptions'!C44)^1</f>
        <v>16500</v>
      </c>
      <c r="S23" s="9">
        <f>'Drivers &amp; Assumptions'!C43*(1+'Drivers &amp; Assumptions'!C44)^1</f>
        <v>16500</v>
      </c>
      <c r="T23" s="9">
        <f>'Drivers &amp; Assumptions'!C43*(1+'Drivers &amp; Assumptions'!C44)^1</f>
        <v>16500</v>
      </c>
      <c r="U23" s="9">
        <f>'Drivers &amp; Assumptions'!C43*(1+'Drivers &amp; Assumptions'!C44)^1</f>
        <v>16500</v>
      </c>
      <c r="V23" s="9">
        <f>'Drivers &amp; Assumptions'!C43*(1+'Drivers &amp; Assumptions'!C44)^1</f>
        <v>16500</v>
      </c>
      <c r="W23" s="9">
        <f>'Drivers &amp; Assumptions'!C43*(1+'Drivers &amp; Assumptions'!C44)^1</f>
        <v>16500</v>
      </c>
      <c r="X23" s="9">
        <f>'Drivers &amp; Assumptions'!C43*(1+'Drivers &amp; Assumptions'!C44)^1</f>
        <v>16500</v>
      </c>
      <c r="Y23" s="9">
        <f>'Drivers &amp; Assumptions'!C43*(1+'Drivers &amp; Assumptions'!C44)^1</f>
        <v>16500</v>
      </c>
      <c r="Z23" s="9">
        <f>'Drivers &amp; Assumptions'!C43*(1+'Drivers &amp; Assumptions'!C44)^2</f>
        <v>18150.000000000004</v>
      </c>
      <c r="AA23" s="9">
        <f>'Drivers &amp; Assumptions'!C43*(1+'Drivers &amp; Assumptions'!C44)^2</f>
        <v>18150.000000000004</v>
      </c>
      <c r="AB23" s="9">
        <f>'Drivers &amp; Assumptions'!C43*(1+'Drivers &amp; Assumptions'!C44)^2</f>
        <v>18150.000000000004</v>
      </c>
      <c r="AC23" s="9">
        <f>'Drivers &amp; Assumptions'!C43*(1+'Drivers &amp; Assumptions'!C44)^2</f>
        <v>18150.000000000004</v>
      </c>
      <c r="AD23" s="9">
        <f>'Drivers &amp; Assumptions'!C43*(1+'Drivers &amp; Assumptions'!C44)^2</f>
        <v>18150.000000000004</v>
      </c>
      <c r="AE23" s="9">
        <f>'Drivers &amp; Assumptions'!C43*(1+'Drivers &amp; Assumptions'!C44)^2</f>
        <v>18150.000000000004</v>
      </c>
      <c r="AF23" s="9">
        <f>'Drivers &amp; Assumptions'!C43*(1+'Drivers &amp; Assumptions'!C44)^2</f>
        <v>18150.000000000004</v>
      </c>
      <c r="AG23" s="9">
        <f>'Drivers &amp; Assumptions'!C43*(1+'Drivers &amp; Assumptions'!C44)^2</f>
        <v>18150.000000000004</v>
      </c>
      <c r="AH23" s="9">
        <f>'Drivers &amp; Assumptions'!C43*(1+'Drivers &amp; Assumptions'!C44)^2</f>
        <v>18150.000000000004</v>
      </c>
      <c r="AI23" s="9">
        <f>'Drivers &amp; Assumptions'!C43*(1+'Drivers &amp; Assumptions'!C44)^2</f>
        <v>18150.000000000004</v>
      </c>
      <c r="AJ23" s="9">
        <f>'Drivers &amp; Assumptions'!C43*(1+'Drivers &amp; Assumptions'!C44)^2</f>
        <v>18150.000000000004</v>
      </c>
      <c r="AK23" s="9">
        <f>'Drivers &amp; Assumptions'!C43*(1+'Drivers &amp; Assumptions'!C44)^2</f>
        <v>18150.000000000004</v>
      </c>
      <c r="AL23" s="9">
        <f>'Drivers &amp; Assumptions'!C43*(1+'Drivers &amp; Assumptions'!C44)^3</f>
        <v>19965.000000000007</v>
      </c>
      <c r="AM23" s="9">
        <f>'Drivers &amp; Assumptions'!C43*(1+'Drivers &amp; Assumptions'!C44)^3</f>
        <v>19965.000000000007</v>
      </c>
      <c r="AN23" s="9">
        <f>'Drivers &amp; Assumptions'!C43*(1+'Drivers &amp; Assumptions'!C44)^3</f>
        <v>19965.000000000007</v>
      </c>
      <c r="AO23" s="9">
        <f>'Drivers &amp; Assumptions'!C43*(1+'Drivers &amp; Assumptions'!C44)^3</f>
        <v>19965.000000000007</v>
      </c>
      <c r="AP23" s="9">
        <f>'Drivers &amp; Assumptions'!C43*(1+'Drivers &amp; Assumptions'!C44)^3</f>
        <v>19965.000000000007</v>
      </c>
      <c r="AQ23" s="9">
        <f>'Drivers &amp; Assumptions'!C43*(1+'Drivers &amp; Assumptions'!C44)^3</f>
        <v>19965.000000000007</v>
      </c>
      <c r="AR23" s="9">
        <f>'Drivers &amp; Assumptions'!C43*(1+'Drivers &amp; Assumptions'!C44)^3</f>
        <v>19965.000000000007</v>
      </c>
      <c r="AS23" s="9">
        <f>'Drivers &amp; Assumptions'!C43*(1+'Drivers &amp; Assumptions'!C44)^3</f>
        <v>19965.000000000007</v>
      </c>
      <c r="AT23" s="9">
        <f>'Drivers &amp; Assumptions'!C43*(1+'Drivers &amp; Assumptions'!C44)^3</f>
        <v>19965.000000000007</v>
      </c>
      <c r="AU23" s="9">
        <f>'Drivers &amp; Assumptions'!C43*(1+'Drivers &amp; Assumptions'!C44)^3</f>
        <v>19965.000000000007</v>
      </c>
      <c r="AV23" s="9">
        <f>'Drivers &amp; Assumptions'!C43*(1+'Drivers &amp; Assumptions'!C44)^3</f>
        <v>19965.000000000007</v>
      </c>
      <c r="AW23" s="9">
        <f>'Drivers &amp; Assumptions'!C43*(1+'Drivers &amp; Assumptions'!C44)^3</f>
        <v>19965.000000000007</v>
      </c>
      <c r="AX23" s="9">
        <f>'Drivers &amp; Assumptions'!C43*(1+'Drivers &amp; Assumptions'!C44)^4</f>
        <v>21961.500000000007</v>
      </c>
      <c r="AY23" s="9">
        <f>'Drivers &amp; Assumptions'!C43*(1+'Drivers &amp; Assumptions'!C44)^4</f>
        <v>21961.500000000007</v>
      </c>
      <c r="AZ23" s="9">
        <f>'Drivers &amp; Assumptions'!C43*(1+'Drivers &amp; Assumptions'!C44)^4</f>
        <v>21961.500000000007</v>
      </c>
      <c r="BA23" s="9">
        <f>'Drivers &amp; Assumptions'!C43*(1+'Drivers &amp; Assumptions'!C44)^4</f>
        <v>21961.500000000007</v>
      </c>
      <c r="BB23" s="9">
        <f>'Drivers &amp; Assumptions'!C43*(1+'Drivers &amp; Assumptions'!C44)^4</f>
        <v>21961.500000000007</v>
      </c>
      <c r="BC23" s="9">
        <f>'Drivers &amp; Assumptions'!C43*(1+'Drivers &amp; Assumptions'!C44)^4</f>
        <v>21961.500000000007</v>
      </c>
      <c r="BD23" s="9">
        <f>'Drivers &amp; Assumptions'!C43*(1+'Drivers &amp; Assumptions'!C44)^4</f>
        <v>21961.500000000007</v>
      </c>
      <c r="BE23" s="9">
        <f>'Drivers &amp; Assumptions'!C43*(1+'Drivers &amp; Assumptions'!C44)^4</f>
        <v>21961.500000000007</v>
      </c>
      <c r="BF23" s="9">
        <f>'Drivers &amp; Assumptions'!C43*(1+'Drivers &amp; Assumptions'!C44)^4</f>
        <v>21961.500000000007</v>
      </c>
      <c r="BG23" s="9">
        <f>'Drivers &amp; Assumptions'!C43*(1+'Drivers &amp; Assumptions'!C44)^4</f>
        <v>21961.500000000007</v>
      </c>
      <c r="BH23" s="9">
        <f>'Drivers &amp; Assumptions'!C43*(1+'Drivers &amp; Assumptions'!C44)^4</f>
        <v>21961.500000000007</v>
      </c>
      <c r="BI23" s="9">
        <f>'Drivers &amp; Assumptions'!C43*(1+'Drivers &amp; Assumptions'!C44)^4</f>
        <v>21961.500000000007</v>
      </c>
    </row>
    <row r="24" spans="1:61" ht="15" customHeight="1" x14ac:dyDescent="0.35">
      <c r="A24" s="7" t="s">
        <v>23</v>
      </c>
      <c r="B24" s="47">
        <v>5000</v>
      </c>
      <c r="C24" s="47">
        <v>5000</v>
      </c>
      <c r="D24" s="47">
        <v>5000</v>
      </c>
      <c r="E24" s="47">
        <v>5000</v>
      </c>
      <c r="F24" s="47">
        <v>5000</v>
      </c>
      <c r="G24" s="47">
        <v>5000</v>
      </c>
      <c r="H24" s="47">
        <v>5000</v>
      </c>
      <c r="I24" s="47">
        <v>5000</v>
      </c>
      <c r="J24" s="47">
        <v>5000</v>
      </c>
      <c r="K24" s="9">
        <f>'Drivers &amp; Assumptions'!C47*(1+'Drivers &amp; Assumptions'!C48)^0</f>
        <v>25000</v>
      </c>
      <c r="L24" s="9">
        <f>'Drivers &amp; Assumptions'!C47*(1+'Drivers &amp; Assumptions'!C48)^0</f>
        <v>25000</v>
      </c>
      <c r="M24" s="9">
        <f>'Drivers &amp; Assumptions'!C47*(1+'Drivers &amp; Assumptions'!C48)^0</f>
        <v>25000</v>
      </c>
      <c r="N24" s="9">
        <f>'Drivers &amp; Assumptions'!C47*(1+'Drivers &amp; Assumptions'!C48)^1</f>
        <v>50000</v>
      </c>
      <c r="O24" s="9">
        <f>'Drivers &amp; Assumptions'!C47*(1+'Drivers &amp; Assumptions'!C48)^1</f>
        <v>50000</v>
      </c>
      <c r="P24" s="9">
        <f>'Drivers &amp; Assumptions'!C47*(1+'Drivers &amp; Assumptions'!C48)^1</f>
        <v>50000</v>
      </c>
      <c r="Q24" s="9">
        <f>'Drivers &amp; Assumptions'!C47*(1+'Drivers &amp; Assumptions'!C48)^1</f>
        <v>50000</v>
      </c>
      <c r="R24" s="9">
        <f>'Drivers &amp; Assumptions'!C47*(1+'Drivers &amp; Assumptions'!C48)^1</f>
        <v>50000</v>
      </c>
      <c r="S24" s="9">
        <f>'Drivers &amp; Assumptions'!C47*(1+'Drivers &amp; Assumptions'!C48)^1</f>
        <v>50000</v>
      </c>
      <c r="T24" s="9">
        <f>'Drivers &amp; Assumptions'!C47*(1+'Drivers &amp; Assumptions'!C48)^1</f>
        <v>50000</v>
      </c>
      <c r="U24" s="9">
        <f>'Drivers &amp; Assumptions'!C47*(1+'Drivers &amp; Assumptions'!C48)^1</f>
        <v>50000</v>
      </c>
      <c r="V24" s="9">
        <f>'Drivers &amp; Assumptions'!C47*(1+'Drivers &amp; Assumptions'!C48)^1</f>
        <v>50000</v>
      </c>
      <c r="W24" s="9">
        <f>'Drivers &amp; Assumptions'!C47*(1+'Drivers &amp; Assumptions'!C48)^1</f>
        <v>50000</v>
      </c>
      <c r="X24" s="9">
        <f>'Drivers &amp; Assumptions'!C47*(1+'Drivers &amp; Assumptions'!C48)^1</f>
        <v>50000</v>
      </c>
      <c r="Y24" s="9">
        <f>'Drivers &amp; Assumptions'!C47*(1+'Drivers &amp; Assumptions'!C48)^1</f>
        <v>50000</v>
      </c>
      <c r="Z24" s="9">
        <f>'Drivers &amp; Assumptions'!C47*(1+'Drivers &amp; Assumptions'!C48)^2</f>
        <v>100000</v>
      </c>
      <c r="AA24" s="9">
        <f>'Drivers &amp; Assumptions'!C47*(1+'Drivers &amp; Assumptions'!C48)^2</f>
        <v>100000</v>
      </c>
      <c r="AB24" s="9">
        <f>'Drivers &amp; Assumptions'!C47*(1+'Drivers &amp; Assumptions'!C48)^2</f>
        <v>100000</v>
      </c>
      <c r="AC24" s="9">
        <f>'Drivers &amp; Assumptions'!C47*(1+'Drivers &amp; Assumptions'!C48)^2</f>
        <v>100000</v>
      </c>
      <c r="AD24" s="9">
        <f>'Drivers &amp; Assumptions'!C47*(1+'Drivers &amp; Assumptions'!C48)^2</f>
        <v>100000</v>
      </c>
      <c r="AE24" s="9">
        <f>'Drivers &amp; Assumptions'!C47*(1+'Drivers &amp; Assumptions'!C48)^2</f>
        <v>100000</v>
      </c>
      <c r="AF24" s="9">
        <f>'Drivers &amp; Assumptions'!C47*(1+'Drivers &amp; Assumptions'!C48)^2</f>
        <v>100000</v>
      </c>
      <c r="AG24" s="9">
        <f>'Drivers &amp; Assumptions'!C47*(1+'Drivers &amp; Assumptions'!C48)^2</f>
        <v>100000</v>
      </c>
      <c r="AH24" s="9">
        <f>'Drivers &amp; Assumptions'!C47*(1+'Drivers &amp; Assumptions'!C48)^2</f>
        <v>100000</v>
      </c>
      <c r="AI24" s="9">
        <f>'Drivers &amp; Assumptions'!C47*(1+'Drivers &amp; Assumptions'!C48)^2</f>
        <v>100000</v>
      </c>
      <c r="AJ24" s="9">
        <f>'Drivers &amp; Assumptions'!C47*(1+'Drivers &amp; Assumptions'!C48)^2</f>
        <v>100000</v>
      </c>
      <c r="AK24" s="9">
        <f>'Drivers &amp; Assumptions'!C47*(1+'Drivers &amp; Assumptions'!C48)^2</f>
        <v>100000</v>
      </c>
      <c r="AL24" s="9">
        <f>'Drivers &amp; Assumptions'!C47*(1+'Drivers &amp; Assumptions'!C48)^3</f>
        <v>200000</v>
      </c>
      <c r="AM24" s="9">
        <f>'Drivers &amp; Assumptions'!C47*(1+'Drivers &amp; Assumptions'!C48)^3</f>
        <v>200000</v>
      </c>
      <c r="AN24" s="9">
        <f>'Drivers &amp; Assumptions'!C47*(1+'Drivers &amp; Assumptions'!C48)^3</f>
        <v>200000</v>
      </c>
      <c r="AO24" s="9">
        <f>'Drivers &amp; Assumptions'!C47*(1+'Drivers &amp; Assumptions'!C48)^3</f>
        <v>200000</v>
      </c>
      <c r="AP24" s="9">
        <f>'Drivers &amp; Assumptions'!C47*(1+'Drivers &amp; Assumptions'!C48)^3</f>
        <v>200000</v>
      </c>
      <c r="AQ24" s="9">
        <f>'Drivers &amp; Assumptions'!C47*(1+'Drivers &amp; Assumptions'!C48)^3</f>
        <v>200000</v>
      </c>
      <c r="AR24" s="9">
        <f>'Drivers &amp; Assumptions'!C47*(1+'Drivers &amp; Assumptions'!C48)^3</f>
        <v>200000</v>
      </c>
      <c r="AS24" s="9">
        <f>'Drivers &amp; Assumptions'!C47*(1+'Drivers &amp; Assumptions'!C48)^3</f>
        <v>200000</v>
      </c>
      <c r="AT24" s="9">
        <f>'Drivers &amp; Assumptions'!C47*(1+'Drivers &amp; Assumptions'!C48)^3</f>
        <v>200000</v>
      </c>
      <c r="AU24" s="9">
        <f>'Drivers &amp; Assumptions'!C47*(1+'Drivers &amp; Assumptions'!C48)^3</f>
        <v>200000</v>
      </c>
      <c r="AV24" s="9">
        <f>'Drivers &amp; Assumptions'!C47*(1+'Drivers &amp; Assumptions'!C48)^3</f>
        <v>200000</v>
      </c>
      <c r="AW24" s="9">
        <f>'Drivers &amp; Assumptions'!C47*(1+'Drivers &amp; Assumptions'!C48)^3</f>
        <v>200000</v>
      </c>
      <c r="AX24" s="9">
        <f>'Drivers &amp; Assumptions'!C47*(1+'Drivers &amp; Assumptions'!C48)^4</f>
        <v>400000</v>
      </c>
      <c r="AY24" s="9">
        <f>'Drivers &amp; Assumptions'!C47*(1+'Drivers &amp; Assumptions'!C48)^4</f>
        <v>400000</v>
      </c>
      <c r="AZ24" s="9">
        <f>'Drivers &amp; Assumptions'!C47*(1+'Drivers &amp; Assumptions'!C48)^4</f>
        <v>400000</v>
      </c>
      <c r="BA24" s="9">
        <f>'Drivers &amp; Assumptions'!C47*(1+'Drivers &amp; Assumptions'!C48)^4</f>
        <v>400000</v>
      </c>
      <c r="BB24" s="9">
        <f>'Drivers &amp; Assumptions'!C47*(1+'Drivers &amp; Assumptions'!C48)^4</f>
        <v>400000</v>
      </c>
      <c r="BC24" s="9">
        <f>'Drivers &amp; Assumptions'!C47*(1+'Drivers &amp; Assumptions'!C48)^4</f>
        <v>400000</v>
      </c>
      <c r="BD24" s="9">
        <f>'Drivers &amp; Assumptions'!C47*(1+'Drivers &amp; Assumptions'!C48)^4</f>
        <v>400000</v>
      </c>
      <c r="BE24" s="9">
        <f>'Drivers &amp; Assumptions'!C47*(1+'Drivers &amp; Assumptions'!C48)^4</f>
        <v>400000</v>
      </c>
      <c r="BF24" s="9">
        <f>'Drivers &amp; Assumptions'!C47*(1+'Drivers &amp; Assumptions'!C48)^4</f>
        <v>400000</v>
      </c>
      <c r="BG24" s="9">
        <f>'Drivers &amp; Assumptions'!C47*(1+'Drivers &amp; Assumptions'!C48)^4</f>
        <v>400000</v>
      </c>
      <c r="BH24" s="9">
        <f>'Drivers &amp; Assumptions'!C47*(1+'Drivers &amp; Assumptions'!C48)^4</f>
        <v>400000</v>
      </c>
      <c r="BI24" s="9">
        <f>'Drivers &amp; Assumptions'!C47*(1+'Drivers &amp; Assumptions'!C48)^4</f>
        <v>400000</v>
      </c>
    </row>
    <row r="25" spans="1:61" ht="15" customHeight="1" x14ac:dyDescent="0.35">
      <c r="A25" s="7" t="s">
        <v>24</v>
      </c>
      <c r="B25" s="9">
        <f>'Drivers &amp; Assumptions'!C49*(1+'Drivers &amp; Assumptions'!C50)^0</f>
        <v>1000</v>
      </c>
      <c r="C25" s="9">
        <f>'Drivers &amp; Assumptions'!C49*(1+'Drivers &amp; Assumptions'!C50)^0</f>
        <v>1000</v>
      </c>
      <c r="D25" s="9">
        <f>'Drivers &amp; Assumptions'!C49*(1+'Drivers &amp; Assumptions'!C50)^0</f>
        <v>1000</v>
      </c>
      <c r="E25" s="9">
        <f>'Drivers &amp; Assumptions'!C49*(1+'Drivers &amp; Assumptions'!C50)^0</f>
        <v>1000</v>
      </c>
      <c r="F25" s="9">
        <f>'Drivers &amp; Assumptions'!C49*(1+'Drivers &amp; Assumptions'!C50)^0</f>
        <v>1000</v>
      </c>
      <c r="G25" s="9">
        <f>'Drivers &amp; Assumptions'!C49*(1+'Drivers &amp; Assumptions'!C50)^0</f>
        <v>1000</v>
      </c>
      <c r="H25" s="9">
        <f>'Drivers &amp; Assumptions'!C49*(1+'Drivers &amp; Assumptions'!C50)^0</f>
        <v>1000</v>
      </c>
      <c r="I25" s="9">
        <f>'Drivers &amp; Assumptions'!C49*(1+'Drivers &amp; Assumptions'!C50)^0</f>
        <v>1000</v>
      </c>
      <c r="J25" s="9">
        <f>'Drivers &amp; Assumptions'!C49*(1+'Drivers &amp; Assumptions'!C50)^0</f>
        <v>1000</v>
      </c>
      <c r="K25" s="9">
        <f>'Drivers &amp; Assumptions'!C49*(1+'Drivers &amp; Assumptions'!C50)^0</f>
        <v>1000</v>
      </c>
      <c r="L25" s="9">
        <f>'Drivers &amp; Assumptions'!C49*(1+'Drivers &amp; Assumptions'!C50)^0</f>
        <v>1000</v>
      </c>
      <c r="M25" s="9">
        <f>'Drivers &amp; Assumptions'!C49*(1+'Drivers &amp; Assumptions'!C50)^0</f>
        <v>1000</v>
      </c>
      <c r="N25" s="9">
        <f>'Drivers &amp; Assumptions'!C49*(1+'Drivers &amp; Assumptions'!C50)^1</f>
        <v>1100</v>
      </c>
      <c r="O25" s="9">
        <f>'Drivers &amp; Assumptions'!C49*(1+'Drivers &amp; Assumptions'!C50)^1</f>
        <v>1100</v>
      </c>
      <c r="P25" s="9">
        <f>'Drivers &amp; Assumptions'!C49*(1+'Drivers &amp; Assumptions'!C50)^1</f>
        <v>1100</v>
      </c>
      <c r="Q25" s="9">
        <f>'Drivers &amp; Assumptions'!C49*(1+'Drivers &amp; Assumptions'!C50)^1</f>
        <v>1100</v>
      </c>
      <c r="R25" s="9">
        <f>'Drivers &amp; Assumptions'!C49*(1+'Drivers &amp; Assumptions'!C50)^1</f>
        <v>1100</v>
      </c>
      <c r="S25" s="9">
        <f>'Drivers &amp; Assumptions'!C49*(1+'Drivers &amp; Assumptions'!C50)^1</f>
        <v>1100</v>
      </c>
      <c r="T25" s="9">
        <f>'Drivers &amp; Assumptions'!C49*(1+'Drivers &amp; Assumptions'!C50)^1</f>
        <v>1100</v>
      </c>
      <c r="U25" s="9">
        <f>'Drivers &amp; Assumptions'!C49*(1+'Drivers &amp; Assumptions'!C50)^1</f>
        <v>1100</v>
      </c>
      <c r="V25" s="9">
        <f>'Drivers &amp; Assumptions'!C49*(1+'Drivers &amp; Assumptions'!C50)^1</f>
        <v>1100</v>
      </c>
      <c r="W25" s="9">
        <f>'Drivers &amp; Assumptions'!C49*(1+'Drivers &amp; Assumptions'!C50)^1</f>
        <v>1100</v>
      </c>
      <c r="X25" s="9">
        <f>'Drivers &amp; Assumptions'!C49*(1+'Drivers &amp; Assumptions'!C50)^1</f>
        <v>1100</v>
      </c>
      <c r="Y25" s="9">
        <f>'Drivers &amp; Assumptions'!C49*(1+'Drivers &amp; Assumptions'!C50)^1</f>
        <v>1100</v>
      </c>
      <c r="Z25" s="9">
        <f>'Drivers &amp; Assumptions'!C49*(1+'Drivers &amp; Assumptions'!C50)^2</f>
        <v>1210.0000000000002</v>
      </c>
      <c r="AA25" s="9">
        <f>'Drivers &amp; Assumptions'!C49*(1+'Drivers &amp; Assumptions'!C50)^2</f>
        <v>1210.0000000000002</v>
      </c>
      <c r="AB25" s="9">
        <f>'Drivers &amp; Assumptions'!C49*(1+'Drivers &amp; Assumptions'!C50)^2</f>
        <v>1210.0000000000002</v>
      </c>
      <c r="AC25" s="9">
        <f>'Drivers &amp; Assumptions'!C49*(1+'Drivers &amp; Assumptions'!C50)^2</f>
        <v>1210.0000000000002</v>
      </c>
      <c r="AD25" s="9">
        <f>'Drivers &amp; Assumptions'!C49*(1+'Drivers &amp; Assumptions'!C50)^2</f>
        <v>1210.0000000000002</v>
      </c>
      <c r="AE25" s="9">
        <f>'Drivers &amp; Assumptions'!C49*(1+'Drivers &amp; Assumptions'!C50)^2</f>
        <v>1210.0000000000002</v>
      </c>
      <c r="AF25" s="9">
        <f>'Drivers &amp; Assumptions'!C49*(1+'Drivers &amp; Assumptions'!C50)^2</f>
        <v>1210.0000000000002</v>
      </c>
      <c r="AG25" s="9">
        <f>'Drivers &amp; Assumptions'!C49*(1+'Drivers &amp; Assumptions'!C50)^2</f>
        <v>1210.0000000000002</v>
      </c>
      <c r="AH25" s="9">
        <f>'Drivers &amp; Assumptions'!C49*(1+'Drivers &amp; Assumptions'!C50)^2</f>
        <v>1210.0000000000002</v>
      </c>
      <c r="AI25" s="9">
        <f>'Drivers &amp; Assumptions'!C49*(1+'Drivers &amp; Assumptions'!C50)^2</f>
        <v>1210.0000000000002</v>
      </c>
      <c r="AJ25" s="9">
        <f>'Drivers &amp; Assumptions'!C49*(1+'Drivers &amp; Assumptions'!C50)^2</f>
        <v>1210.0000000000002</v>
      </c>
      <c r="AK25" s="9">
        <f>'Drivers &amp; Assumptions'!C49*(1+'Drivers &amp; Assumptions'!C50)^2</f>
        <v>1210.0000000000002</v>
      </c>
      <c r="AL25" s="9">
        <f>'Drivers &amp; Assumptions'!C49*(1+'Drivers &amp; Assumptions'!C50)^3</f>
        <v>1331.0000000000005</v>
      </c>
      <c r="AM25" s="9">
        <f>'Drivers &amp; Assumptions'!C49*(1+'Drivers &amp; Assumptions'!C50)^3</f>
        <v>1331.0000000000005</v>
      </c>
      <c r="AN25" s="9">
        <f>'Drivers &amp; Assumptions'!C49*(1+'Drivers &amp; Assumptions'!C50)^3</f>
        <v>1331.0000000000005</v>
      </c>
      <c r="AO25" s="9">
        <f>'Drivers &amp; Assumptions'!C49*(1+'Drivers &amp; Assumptions'!C50)^3</f>
        <v>1331.0000000000005</v>
      </c>
      <c r="AP25" s="9">
        <f>'Drivers &amp; Assumptions'!C49*(1+'Drivers &amp; Assumptions'!C50)^3</f>
        <v>1331.0000000000005</v>
      </c>
      <c r="AQ25" s="9">
        <f>'Drivers &amp; Assumptions'!C49*(1+'Drivers &amp; Assumptions'!C50)^3</f>
        <v>1331.0000000000005</v>
      </c>
      <c r="AR25" s="9">
        <f>'Drivers &amp; Assumptions'!C49*(1+'Drivers &amp; Assumptions'!C50)^3</f>
        <v>1331.0000000000005</v>
      </c>
      <c r="AS25" s="9">
        <f>'Drivers &amp; Assumptions'!C49*(1+'Drivers &amp; Assumptions'!C50)^3</f>
        <v>1331.0000000000005</v>
      </c>
      <c r="AT25" s="9">
        <f>'Drivers &amp; Assumptions'!C49*(1+'Drivers &amp; Assumptions'!C50)^3</f>
        <v>1331.0000000000005</v>
      </c>
      <c r="AU25" s="9">
        <f>'Drivers &amp; Assumptions'!C49*(1+'Drivers &amp; Assumptions'!C50)^3</f>
        <v>1331.0000000000005</v>
      </c>
      <c r="AV25" s="9">
        <f>'Drivers &amp; Assumptions'!C49*(1+'Drivers &amp; Assumptions'!C50)^3</f>
        <v>1331.0000000000005</v>
      </c>
      <c r="AW25" s="9">
        <f>'Drivers &amp; Assumptions'!C49*(1+'Drivers &amp; Assumptions'!C50)^3</f>
        <v>1331.0000000000005</v>
      </c>
      <c r="AX25" s="9">
        <f>'Drivers &amp; Assumptions'!C49*(1+'Drivers &amp; Assumptions'!C50)^4</f>
        <v>1464.1000000000004</v>
      </c>
      <c r="AY25" s="9">
        <f>'Drivers &amp; Assumptions'!C49*(1+'Drivers &amp; Assumptions'!C50)^4</f>
        <v>1464.1000000000004</v>
      </c>
      <c r="AZ25" s="9">
        <f>'Drivers &amp; Assumptions'!C49*(1+'Drivers &amp; Assumptions'!C50)^4</f>
        <v>1464.1000000000004</v>
      </c>
      <c r="BA25" s="9">
        <f>'Drivers &amp; Assumptions'!C49*(1+'Drivers &amp; Assumptions'!C50)^4</f>
        <v>1464.1000000000004</v>
      </c>
      <c r="BB25" s="9">
        <f>'Drivers &amp; Assumptions'!C49*(1+'Drivers &amp; Assumptions'!C50)^4</f>
        <v>1464.1000000000004</v>
      </c>
      <c r="BC25" s="9">
        <f>'Drivers &amp; Assumptions'!C49*(1+'Drivers &amp; Assumptions'!C50)^4</f>
        <v>1464.1000000000004</v>
      </c>
      <c r="BD25" s="9">
        <f>'Drivers &amp; Assumptions'!C49*(1+'Drivers &amp; Assumptions'!C50)^4</f>
        <v>1464.1000000000004</v>
      </c>
      <c r="BE25" s="9">
        <f>'Drivers &amp; Assumptions'!C49*(1+'Drivers &amp; Assumptions'!C50)^4</f>
        <v>1464.1000000000004</v>
      </c>
      <c r="BF25" s="9">
        <f>'Drivers &amp; Assumptions'!C49*(1+'Drivers &amp; Assumptions'!C50)^4</f>
        <v>1464.1000000000004</v>
      </c>
      <c r="BG25" s="9">
        <f>'Drivers &amp; Assumptions'!C49*(1+'Drivers &amp; Assumptions'!C50)^4</f>
        <v>1464.1000000000004</v>
      </c>
      <c r="BH25" s="9">
        <f>'Drivers &amp; Assumptions'!C49*(1+'Drivers &amp; Assumptions'!C50)^4</f>
        <v>1464.1000000000004</v>
      </c>
      <c r="BI25" s="9">
        <f>'Drivers &amp; Assumptions'!C49*(1+'Drivers &amp; Assumptions'!C50)^4</f>
        <v>1464.1000000000004</v>
      </c>
    </row>
    <row r="26" spans="1:61" ht="15" customHeight="1" x14ac:dyDescent="0.35">
      <c r="A26" s="7" t="s">
        <v>25</v>
      </c>
      <c r="B26" s="9">
        <f>'Drivers &amp; Assumptions'!C51*(1+'Drivers &amp; Assumptions'!C52)^0</f>
        <v>8000</v>
      </c>
      <c r="C26" s="9">
        <f>'Drivers &amp; Assumptions'!C51*(1+'Drivers &amp; Assumptions'!C52)^0</f>
        <v>8000</v>
      </c>
      <c r="D26" s="9">
        <f>'Drivers &amp; Assumptions'!C51*(1+'Drivers &amp; Assumptions'!C52)^0</f>
        <v>8000</v>
      </c>
      <c r="E26" s="9">
        <f>'Drivers &amp; Assumptions'!C51*(1+'Drivers &amp; Assumptions'!C52)^0</f>
        <v>8000</v>
      </c>
      <c r="F26" s="9">
        <f>'Drivers &amp; Assumptions'!C51*(1+'Drivers &amp; Assumptions'!C52)^0</f>
        <v>8000</v>
      </c>
      <c r="G26" s="9">
        <f>'Drivers &amp; Assumptions'!C51*(1+'Drivers &amp; Assumptions'!C52)^0</f>
        <v>8000</v>
      </c>
      <c r="H26" s="9">
        <f>'Drivers &amp; Assumptions'!C51*(1+'Drivers &amp; Assumptions'!C52)^0</f>
        <v>8000</v>
      </c>
      <c r="I26" s="9">
        <f>'Drivers &amp; Assumptions'!C51*(1+'Drivers &amp; Assumptions'!C52)^0</f>
        <v>8000</v>
      </c>
      <c r="J26" s="9">
        <f>'Drivers &amp; Assumptions'!C51*(1+'Drivers &amp; Assumptions'!C52)^0</f>
        <v>8000</v>
      </c>
      <c r="K26" s="9">
        <f>'Drivers &amp; Assumptions'!C51*(1+'Drivers &amp; Assumptions'!C52)^0</f>
        <v>8000</v>
      </c>
      <c r="L26" s="9">
        <f>'Drivers &amp; Assumptions'!C51*(1+'Drivers &amp; Assumptions'!C52)^0</f>
        <v>8000</v>
      </c>
      <c r="M26" s="9">
        <f>'Drivers &amp; Assumptions'!C51*(1+'Drivers &amp; Assumptions'!C52)^0</f>
        <v>8000</v>
      </c>
      <c r="N26" s="9">
        <f>'Drivers &amp; Assumptions'!C51*(1+'Drivers &amp; Assumptions'!C52)^1</f>
        <v>8400</v>
      </c>
      <c r="O26" s="9">
        <f>'Drivers &amp; Assumptions'!C51*(1+'Drivers &amp; Assumptions'!C52)^1</f>
        <v>8400</v>
      </c>
      <c r="P26" s="9">
        <f>'Drivers &amp; Assumptions'!C51*(1+'Drivers &amp; Assumptions'!C52)^1</f>
        <v>8400</v>
      </c>
      <c r="Q26" s="9">
        <f>'Drivers &amp; Assumptions'!C51*(1+'Drivers &amp; Assumptions'!C52)^1</f>
        <v>8400</v>
      </c>
      <c r="R26" s="9">
        <f>'Drivers &amp; Assumptions'!C51*(1+'Drivers &amp; Assumptions'!C52)^1</f>
        <v>8400</v>
      </c>
      <c r="S26" s="9">
        <f>'Drivers &amp; Assumptions'!C51*(1+'Drivers &amp; Assumptions'!C52)^1</f>
        <v>8400</v>
      </c>
      <c r="T26" s="9">
        <f>'Drivers &amp; Assumptions'!C51*(1+'Drivers &amp; Assumptions'!C52)^1</f>
        <v>8400</v>
      </c>
      <c r="U26" s="9">
        <f>'Drivers &amp; Assumptions'!C51*(1+'Drivers &amp; Assumptions'!C52)^1</f>
        <v>8400</v>
      </c>
      <c r="V26" s="9">
        <f>'Drivers &amp; Assumptions'!C51*(1+'Drivers &amp; Assumptions'!C52)^1</f>
        <v>8400</v>
      </c>
      <c r="W26" s="9">
        <f>'Drivers &amp; Assumptions'!C51*(1+'Drivers &amp; Assumptions'!C52)^1</f>
        <v>8400</v>
      </c>
      <c r="X26" s="9">
        <f>'Drivers &amp; Assumptions'!C51*(1+'Drivers &amp; Assumptions'!C52)^1</f>
        <v>8400</v>
      </c>
      <c r="Y26" s="9">
        <f>'Drivers &amp; Assumptions'!C51*(1+'Drivers &amp; Assumptions'!C52)^1</f>
        <v>8400</v>
      </c>
      <c r="Z26" s="9">
        <f>'Drivers &amp; Assumptions'!C51*(1+'Drivers &amp; Assumptions'!C52)^2</f>
        <v>8820</v>
      </c>
      <c r="AA26" s="9">
        <f>'Drivers &amp; Assumptions'!C51*(1+'Drivers &amp; Assumptions'!C52)^2</f>
        <v>8820</v>
      </c>
      <c r="AB26" s="9">
        <f>'Drivers &amp; Assumptions'!C51*(1+'Drivers &amp; Assumptions'!C52)^2</f>
        <v>8820</v>
      </c>
      <c r="AC26" s="9">
        <f>'Drivers &amp; Assumptions'!C51*(1+'Drivers &amp; Assumptions'!C52)^2</f>
        <v>8820</v>
      </c>
      <c r="AD26" s="9">
        <f>'Drivers &amp; Assumptions'!C51*(1+'Drivers &amp; Assumptions'!C52)^2</f>
        <v>8820</v>
      </c>
      <c r="AE26" s="9">
        <f>'Drivers &amp; Assumptions'!C51*(1+'Drivers &amp; Assumptions'!C52)^2</f>
        <v>8820</v>
      </c>
      <c r="AF26" s="9">
        <f>'Drivers &amp; Assumptions'!C51*(1+'Drivers &amp; Assumptions'!C52)^2</f>
        <v>8820</v>
      </c>
      <c r="AG26" s="9">
        <f>'Drivers &amp; Assumptions'!C51*(1+'Drivers &amp; Assumptions'!C52)^2</f>
        <v>8820</v>
      </c>
      <c r="AH26" s="9">
        <f>'Drivers &amp; Assumptions'!C51*(1+'Drivers &amp; Assumptions'!C52)^2</f>
        <v>8820</v>
      </c>
      <c r="AI26" s="9">
        <f>'Drivers &amp; Assumptions'!C51*(1+'Drivers &amp; Assumptions'!C52)^2</f>
        <v>8820</v>
      </c>
      <c r="AJ26" s="9">
        <f>'Drivers &amp; Assumptions'!C51*(1+'Drivers &amp; Assumptions'!C52)^2</f>
        <v>8820</v>
      </c>
      <c r="AK26" s="9">
        <f>'Drivers &amp; Assumptions'!C51*(1+'Drivers &amp; Assumptions'!C52)^2</f>
        <v>8820</v>
      </c>
      <c r="AL26" s="9">
        <f>'Drivers &amp; Assumptions'!C51*(1+'Drivers &amp; Assumptions'!C52)^3</f>
        <v>9261.0000000000018</v>
      </c>
      <c r="AM26" s="9">
        <f>'Drivers &amp; Assumptions'!C51*(1+'Drivers &amp; Assumptions'!C52)^3</f>
        <v>9261.0000000000018</v>
      </c>
      <c r="AN26" s="9">
        <f>'Drivers &amp; Assumptions'!C51*(1+'Drivers &amp; Assumptions'!C52)^3</f>
        <v>9261.0000000000018</v>
      </c>
      <c r="AO26" s="9">
        <f>'Drivers &amp; Assumptions'!C51*(1+'Drivers &amp; Assumptions'!C52)^3</f>
        <v>9261.0000000000018</v>
      </c>
      <c r="AP26" s="9">
        <f>'Drivers &amp; Assumptions'!C51*(1+'Drivers &amp; Assumptions'!C52)^3</f>
        <v>9261.0000000000018</v>
      </c>
      <c r="AQ26" s="9">
        <f>'Drivers &amp; Assumptions'!C51*(1+'Drivers &amp; Assumptions'!C52)^3</f>
        <v>9261.0000000000018</v>
      </c>
      <c r="AR26" s="9">
        <f>'Drivers &amp; Assumptions'!C51*(1+'Drivers &amp; Assumptions'!C52)^3</f>
        <v>9261.0000000000018</v>
      </c>
      <c r="AS26" s="9">
        <f>'Drivers &amp; Assumptions'!C51*(1+'Drivers &amp; Assumptions'!C52)^3</f>
        <v>9261.0000000000018</v>
      </c>
      <c r="AT26" s="9">
        <f>'Drivers &amp; Assumptions'!C51*(1+'Drivers &amp; Assumptions'!C52)^3</f>
        <v>9261.0000000000018</v>
      </c>
      <c r="AU26" s="9">
        <f>'Drivers &amp; Assumptions'!C51*(1+'Drivers &amp; Assumptions'!C52)^3</f>
        <v>9261.0000000000018</v>
      </c>
      <c r="AV26" s="9">
        <f>'Drivers &amp; Assumptions'!C51*(1+'Drivers &amp; Assumptions'!C52)^3</f>
        <v>9261.0000000000018</v>
      </c>
      <c r="AW26" s="9">
        <f>'Drivers &amp; Assumptions'!C51*(1+'Drivers &amp; Assumptions'!C52)^3</f>
        <v>9261.0000000000018</v>
      </c>
      <c r="AX26" s="9">
        <f>'Drivers &amp; Assumptions'!C51*(1+'Drivers &amp; Assumptions'!C52)^4</f>
        <v>9724.0499999999993</v>
      </c>
      <c r="AY26" s="9">
        <f>'Drivers &amp; Assumptions'!C51*(1+'Drivers &amp; Assumptions'!C52)^4</f>
        <v>9724.0499999999993</v>
      </c>
      <c r="AZ26" s="9">
        <f>'Drivers &amp; Assumptions'!C51*(1+'Drivers &amp; Assumptions'!C52)^4</f>
        <v>9724.0499999999993</v>
      </c>
      <c r="BA26" s="9">
        <f>'Drivers &amp; Assumptions'!C51*(1+'Drivers &amp; Assumptions'!C52)^4</f>
        <v>9724.0499999999993</v>
      </c>
      <c r="BB26" s="9">
        <f>'Drivers &amp; Assumptions'!C51*(1+'Drivers &amp; Assumptions'!C52)^4</f>
        <v>9724.0499999999993</v>
      </c>
      <c r="BC26" s="9">
        <f>'Drivers &amp; Assumptions'!C51*(1+'Drivers &amp; Assumptions'!C52)^4</f>
        <v>9724.0499999999993</v>
      </c>
      <c r="BD26" s="9">
        <f>'Drivers &amp; Assumptions'!C51*(1+'Drivers &amp; Assumptions'!C52)^4</f>
        <v>9724.0499999999993</v>
      </c>
      <c r="BE26" s="9">
        <f>'Drivers &amp; Assumptions'!C51*(1+'Drivers &amp; Assumptions'!C52)^4</f>
        <v>9724.0499999999993</v>
      </c>
      <c r="BF26" s="9">
        <f>'Drivers &amp; Assumptions'!C51*(1+'Drivers &amp; Assumptions'!C52)^4</f>
        <v>9724.0499999999993</v>
      </c>
      <c r="BG26" s="9">
        <f>'Drivers &amp; Assumptions'!C51*(1+'Drivers &amp; Assumptions'!C52)^4</f>
        <v>9724.0499999999993</v>
      </c>
      <c r="BH26" s="9">
        <f>'Drivers &amp; Assumptions'!C51*(1+'Drivers &amp; Assumptions'!C52)^4</f>
        <v>9724.0499999999993</v>
      </c>
      <c r="BI26" s="9">
        <f>'Drivers &amp; Assumptions'!C51*(1+'Drivers &amp; Assumptions'!C52)^4</f>
        <v>9724.0499999999993</v>
      </c>
    </row>
    <row r="27" spans="1:61" ht="15" customHeight="1" x14ac:dyDescent="0.35">
      <c r="A27" s="7" t="s">
        <v>26</v>
      </c>
      <c r="B27" s="9">
        <f>'Drivers &amp; Assumptions'!C53*(1+'Drivers &amp; Assumptions'!C54)^0</f>
        <v>5000</v>
      </c>
      <c r="C27" s="9">
        <f>'Drivers &amp; Assumptions'!C53*(1+'Drivers &amp; Assumptions'!C54)^0</f>
        <v>5000</v>
      </c>
      <c r="D27" s="9">
        <f>'Drivers &amp; Assumptions'!C53*(1+'Drivers &amp; Assumptions'!C54)^0</f>
        <v>5000</v>
      </c>
      <c r="E27" s="9">
        <f>'Drivers &amp; Assumptions'!C53*(1+'Drivers &amp; Assumptions'!C54)^0</f>
        <v>5000</v>
      </c>
      <c r="F27" s="9">
        <f>'Drivers &amp; Assumptions'!C53*(1+'Drivers &amp; Assumptions'!C54)^0</f>
        <v>5000</v>
      </c>
      <c r="G27" s="9">
        <f>'Drivers &amp; Assumptions'!C53*(1+'Drivers &amp; Assumptions'!C54)^0</f>
        <v>5000</v>
      </c>
      <c r="H27" s="9">
        <f>'Drivers &amp; Assumptions'!C53*(1+'Drivers &amp; Assumptions'!C54)^0</f>
        <v>5000</v>
      </c>
      <c r="I27" s="9">
        <f>'Drivers &amp; Assumptions'!C53*(1+'Drivers &amp; Assumptions'!C54)^0</f>
        <v>5000</v>
      </c>
      <c r="J27" s="9">
        <f>'Drivers &amp; Assumptions'!C53*(1+'Drivers &amp; Assumptions'!C54)^0</f>
        <v>5000</v>
      </c>
      <c r="K27" s="9">
        <f>'Drivers &amp; Assumptions'!C53*(1+'Drivers &amp; Assumptions'!C54)^0</f>
        <v>5000</v>
      </c>
      <c r="L27" s="9">
        <f>'Drivers &amp; Assumptions'!C53*(1+'Drivers &amp; Assumptions'!C54)^0</f>
        <v>5000</v>
      </c>
      <c r="M27" s="9">
        <f>'Drivers &amp; Assumptions'!C53*(1+'Drivers &amp; Assumptions'!C54)^0</f>
        <v>5000</v>
      </c>
      <c r="N27" s="9">
        <f>'Drivers &amp; Assumptions'!C53*(1+'Drivers &amp; Assumptions'!C54)^1</f>
        <v>5250</v>
      </c>
      <c r="O27" s="9">
        <f>'Drivers &amp; Assumptions'!C53*(1+'Drivers &amp; Assumptions'!C54)^1</f>
        <v>5250</v>
      </c>
      <c r="P27" s="9">
        <f>'Drivers &amp; Assumptions'!C53*(1+'Drivers &amp; Assumptions'!C54)^1</f>
        <v>5250</v>
      </c>
      <c r="Q27" s="9">
        <f>'Drivers &amp; Assumptions'!C53*(1+'Drivers &amp; Assumptions'!C54)^1</f>
        <v>5250</v>
      </c>
      <c r="R27" s="9">
        <f>'Drivers &amp; Assumptions'!C53*(1+'Drivers &amp; Assumptions'!C54)^1</f>
        <v>5250</v>
      </c>
      <c r="S27" s="9">
        <f>'Drivers &amp; Assumptions'!C53*(1+'Drivers &amp; Assumptions'!C54)^1</f>
        <v>5250</v>
      </c>
      <c r="T27" s="9">
        <f>'Drivers &amp; Assumptions'!C53*(1+'Drivers &amp; Assumptions'!C54)^1</f>
        <v>5250</v>
      </c>
      <c r="U27" s="9">
        <f>'Drivers &amp; Assumptions'!C53*(1+'Drivers &amp; Assumptions'!C54)^1</f>
        <v>5250</v>
      </c>
      <c r="V27" s="9">
        <f>'Drivers &amp; Assumptions'!C53*(1+'Drivers &amp; Assumptions'!C54)^1</f>
        <v>5250</v>
      </c>
      <c r="W27" s="9">
        <f>'Drivers &amp; Assumptions'!C53*(1+'Drivers &amp; Assumptions'!C54)^1</f>
        <v>5250</v>
      </c>
      <c r="X27" s="9">
        <f>'Drivers &amp; Assumptions'!C53*(1+'Drivers &amp; Assumptions'!C54)^1</f>
        <v>5250</v>
      </c>
      <c r="Y27" s="9">
        <f>'Drivers &amp; Assumptions'!C53*(1+'Drivers &amp; Assumptions'!C54)^1</f>
        <v>5250</v>
      </c>
      <c r="Z27" s="9">
        <f>'Drivers &amp; Assumptions'!C53*(1+'Drivers &amp; Assumptions'!C54)^2</f>
        <v>5512.5</v>
      </c>
      <c r="AA27" s="9">
        <f>'Drivers &amp; Assumptions'!C53*(1+'Drivers &amp; Assumptions'!C54)^2</f>
        <v>5512.5</v>
      </c>
      <c r="AB27" s="9">
        <f>'Drivers &amp; Assumptions'!C53*(1+'Drivers &amp; Assumptions'!C54)^2</f>
        <v>5512.5</v>
      </c>
      <c r="AC27" s="9">
        <f>'Drivers &amp; Assumptions'!C53*(1+'Drivers &amp; Assumptions'!C54)^2</f>
        <v>5512.5</v>
      </c>
      <c r="AD27" s="9">
        <f>'Drivers &amp; Assumptions'!C53*(1+'Drivers &amp; Assumptions'!C54)^2</f>
        <v>5512.5</v>
      </c>
      <c r="AE27" s="9">
        <f>'Drivers &amp; Assumptions'!C53*(1+'Drivers &amp; Assumptions'!C54)^2</f>
        <v>5512.5</v>
      </c>
      <c r="AF27" s="9">
        <f>'Drivers &amp; Assumptions'!C53*(1+'Drivers &amp; Assumptions'!C54)^2</f>
        <v>5512.5</v>
      </c>
      <c r="AG27" s="9">
        <f>'Drivers &amp; Assumptions'!C53*(1+'Drivers &amp; Assumptions'!C54)^2</f>
        <v>5512.5</v>
      </c>
      <c r="AH27" s="9">
        <f>'Drivers &amp; Assumptions'!C53*(1+'Drivers &amp; Assumptions'!C54)^2</f>
        <v>5512.5</v>
      </c>
      <c r="AI27" s="9">
        <f>'Drivers &amp; Assumptions'!C53*(1+'Drivers &amp; Assumptions'!C54)^2</f>
        <v>5512.5</v>
      </c>
      <c r="AJ27" s="9">
        <f>'Drivers &amp; Assumptions'!C53*(1+'Drivers &amp; Assumptions'!C54)^2</f>
        <v>5512.5</v>
      </c>
      <c r="AK27" s="9">
        <f>'Drivers &amp; Assumptions'!C53*(1+'Drivers &amp; Assumptions'!C54)^2</f>
        <v>5512.5</v>
      </c>
      <c r="AL27" s="9">
        <f>'Drivers &amp; Assumptions'!C53*(1+'Drivers &amp; Assumptions'!C54)^3</f>
        <v>5788.1250000000009</v>
      </c>
      <c r="AM27" s="9">
        <f>'Drivers &amp; Assumptions'!C53*(1+'Drivers &amp; Assumptions'!C54)^3</f>
        <v>5788.1250000000009</v>
      </c>
      <c r="AN27" s="9">
        <f>'Drivers &amp; Assumptions'!C53*(1+'Drivers &amp; Assumptions'!C54)^3</f>
        <v>5788.1250000000009</v>
      </c>
      <c r="AO27" s="9">
        <f>'Drivers &amp; Assumptions'!C53*(1+'Drivers &amp; Assumptions'!C54)^3</f>
        <v>5788.1250000000009</v>
      </c>
      <c r="AP27" s="9">
        <f>'Drivers &amp; Assumptions'!C53*(1+'Drivers &amp; Assumptions'!C54)^3</f>
        <v>5788.1250000000009</v>
      </c>
      <c r="AQ27" s="9">
        <f>'Drivers &amp; Assumptions'!C53*(1+'Drivers &amp; Assumptions'!C54)^3</f>
        <v>5788.1250000000009</v>
      </c>
      <c r="AR27" s="9">
        <f>'Drivers &amp; Assumptions'!C53*(1+'Drivers &amp; Assumptions'!C54)^3</f>
        <v>5788.1250000000009</v>
      </c>
      <c r="AS27" s="9">
        <f>'Drivers &amp; Assumptions'!C53*(1+'Drivers &amp; Assumptions'!C54)^3</f>
        <v>5788.1250000000009</v>
      </c>
      <c r="AT27" s="9">
        <f>'Drivers &amp; Assumptions'!C53*(1+'Drivers &amp; Assumptions'!C54)^3</f>
        <v>5788.1250000000009</v>
      </c>
      <c r="AU27" s="9">
        <f>'Drivers &amp; Assumptions'!C53*(1+'Drivers &amp; Assumptions'!C54)^3</f>
        <v>5788.1250000000009</v>
      </c>
      <c r="AV27" s="9">
        <f>'Drivers &amp; Assumptions'!C53*(1+'Drivers &amp; Assumptions'!C54)^3</f>
        <v>5788.1250000000009</v>
      </c>
      <c r="AW27" s="9">
        <f>'Drivers &amp; Assumptions'!C53*(1+'Drivers &amp; Assumptions'!C54)^3</f>
        <v>5788.1250000000009</v>
      </c>
      <c r="AX27" s="9">
        <f>'Drivers &amp; Assumptions'!C53*(1+'Drivers &amp; Assumptions'!C54)^4</f>
        <v>6077.53125</v>
      </c>
      <c r="AY27" s="9">
        <f>'Drivers &amp; Assumptions'!C53*(1+'Drivers &amp; Assumptions'!C54)^4</f>
        <v>6077.53125</v>
      </c>
      <c r="AZ27" s="9">
        <f>'Drivers &amp; Assumptions'!C53*(1+'Drivers &amp; Assumptions'!C54)^4</f>
        <v>6077.53125</v>
      </c>
      <c r="BA27" s="9">
        <f>'Drivers &amp; Assumptions'!C53*(1+'Drivers &amp; Assumptions'!C54)^4</f>
        <v>6077.53125</v>
      </c>
      <c r="BB27" s="9">
        <f>'Drivers &amp; Assumptions'!C53*(1+'Drivers &amp; Assumptions'!C54)^4</f>
        <v>6077.53125</v>
      </c>
      <c r="BC27" s="9">
        <f>'Drivers &amp; Assumptions'!C53*(1+'Drivers &amp; Assumptions'!C54)^4</f>
        <v>6077.53125</v>
      </c>
      <c r="BD27" s="9">
        <f>'Drivers &amp; Assumptions'!C53*(1+'Drivers &amp; Assumptions'!C54)^4</f>
        <v>6077.53125</v>
      </c>
      <c r="BE27" s="9">
        <f>'Drivers &amp; Assumptions'!C53*(1+'Drivers &amp; Assumptions'!C54)^4</f>
        <v>6077.53125</v>
      </c>
      <c r="BF27" s="9">
        <f>'Drivers &amp; Assumptions'!C53*(1+'Drivers &amp; Assumptions'!C54)^4</f>
        <v>6077.53125</v>
      </c>
      <c r="BG27" s="9">
        <f>'Drivers &amp; Assumptions'!C53*(1+'Drivers &amp; Assumptions'!C54)^4</f>
        <v>6077.53125</v>
      </c>
      <c r="BH27" s="9">
        <f>'Drivers &amp; Assumptions'!C53*(1+'Drivers &amp; Assumptions'!C54)^4</f>
        <v>6077.53125</v>
      </c>
      <c r="BI27" s="9">
        <f>'Drivers &amp; Assumptions'!C53*(1+'Drivers &amp; Assumptions'!C54)^4</f>
        <v>6077.53125</v>
      </c>
    </row>
    <row r="28" spans="1:61" ht="15" customHeight="1" x14ac:dyDescent="0.35">
      <c r="A28" s="7" t="s">
        <v>27</v>
      </c>
      <c r="B28" s="9">
        <f>'Drivers &amp; Assumptions'!C55</f>
        <v>5000</v>
      </c>
      <c r="C28" s="9">
        <f>'Drivers &amp; Assumptions'!C55</f>
        <v>5000</v>
      </c>
      <c r="D28" s="9">
        <f>'Drivers &amp; Assumptions'!C55</f>
        <v>5000</v>
      </c>
      <c r="E28" s="9">
        <f>'Drivers &amp; Assumptions'!C55</f>
        <v>5000</v>
      </c>
      <c r="F28" s="9">
        <f>'Drivers &amp; Assumptions'!C55</f>
        <v>5000</v>
      </c>
      <c r="G28" s="9">
        <f>'Drivers &amp; Assumptions'!C55</f>
        <v>5000</v>
      </c>
      <c r="H28" s="9">
        <f>'Drivers &amp; Assumptions'!C55</f>
        <v>5000</v>
      </c>
      <c r="I28" s="9">
        <f>'Drivers &amp; Assumptions'!C55</f>
        <v>5000</v>
      </c>
      <c r="J28" s="9">
        <f>'Drivers &amp; Assumptions'!C55</f>
        <v>5000</v>
      </c>
      <c r="K28" s="9">
        <f>'Drivers &amp; Assumptions'!C55</f>
        <v>5000</v>
      </c>
      <c r="L28" s="9">
        <f>'Drivers &amp; Assumptions'!C55</f>
        <v>5000</v>
      </c>
      <c r="M28" s="9">
        <f>'Drivers &amp; Assumptions'!C55</f>
        <v>5000</v>
      </c>
      <c r="N28" s="9">
        <f>'Drivers &amp; Assumptions'!C55</f>
        <v>5000</v>
      </c>
      <c r="O28" s="9">
        <f>'Drivers &amp; Assumptions'!C55</f>
        <v>5000</v>
      </c>
      <c r="P28" s="9">
        <f>'Drivers &amp; Assumptions'!C55</f>
        <v>5000</v>
      </c>
      <c r="Q28" s="9">
        <f>'Drivers &amp; Assumptions'!C55</f>
        <v>5000</v>
      </c>
      <c r="R28" s="9">
        <f>'Drivers &amp; Assumptions'!C55</f>
        <v>5000</v>
      </c>
      <c r="S28" s="9">
        <f>'Drivers &amp; Assumptions'!C55</f>
        <v>5000</v>
      </c>
      <c r="T28" s="9">
        <f>'Drivers &amp; Assumptions'!C55</f>
        <v>5000</v>
      </c>
      <c r="U28" s="9">
        <f>'Drivers &amp; Assumptions'!C55</f>
        <v>5000</v>
      </c>
      <c r="V28" s="9">
        <f>'Drivers &amp; Assumptions'!C55</f>
        <v>5000</v>
      </c>
      <c r="W28" s="9">
        <f>'Drivers &amp; Assumptions'!C55</f>
        <v>5000</v>
      </c>
      <c r="X28" s="9">
        <f>'Drivers &amp; Assumptions'!C55</f>
        <v>5000</v>
      </c>
      <c r="Y28" s="9">
        <f>'Drivers &amp; Assumptions'!C55</f>
        <v>5000</v>
      </c>
      <c r="Z28" s="9">
        <f>'Drivers &amp; Assumptions'!C55</f>
        <v>5000</v>
      </c>
      <c r="AA28" s="9">
        <f>'Drivers &amp; Assumptions'!C55</f>
        <v>5000</v>
      </c>
      <c r="AB28" s="9">
        <f>'Drivers &amp; Assumptions'!C55</f>
        <v>5000</v>
      </c>
      <c r="AC28" s="9">
        <f>'Drivers &amp; Assumptions'!C55</f>
        <v>5000</v>
      </c>
      <c r="AD28" s="9">
        <f>'Drivers &amp; Assumptions'!C55</f>
        <v>5000</v>
      </c>
      <c r="AE28" s="9">
        <f>'Drivers &amp; Assumptions'!C55</f>
        <v>5000</v>
      </c>
      <c r="AF28" s="9">
        <f>'Drivers &amp; Assumptions'!C55</f>
        <v>5000</v>
      </c>
      <c r="AG28" s="9">
        <f>'Drivers &amp; Assumptions'!C55</f>
        <v>5000</v>
      </c>
      <c r="AH28" s="9">
        <f>'Drivers &amp; Assumptions'!C55</f>
        <v>5000</v>
      </c>
      <c r="AI28" s="9">
        <f>'Drivers &amp; Assumptions'!C55</f>
        <v>5000</v>
      </c>
      <c r="AJ28" s="9">
        <f>'Drivers &amp; Assumptions'!C55</f>
        <v>5000</v>
      </c>
      <c r="AK28" s="9">
        <f>'Drivers &amp; Assumptions'!C55</f>
        <v>5000</v>
      </c>
      <c r="AL28" s="9">
        <f>'Drivers &amp; Assumptions'!C55</f>
        <v>5000</v>
      </c>
      <c r="AM28" s="9">
        <f>'Drivers &amp; Assumptions'!C55</f>
        <v>5000</v>
      </c>
      <c r="AN28" s="9">
        <f>'Drivers &amp; Assumptions'!C55</f>
        <v>5000</v>
      </c>
      <c r="AO28" s="9">
        <f>'Drivers &amp; Assumptions'!C55</f>
        <v>5000</v>
      </c>
      <c r="AP28" s="9">
        <f>'Drivers &amp; Assumptions'!C55</f>
        <v>5000</v>
      </c>
      <c r="AQ28" s="9">
        <f>'Drivers &amp; Assumptions'!C55</f>
        <v>5000</v>
      </c>
      <c r="AR28" s="9">
        <f>'Drivers &amp; Assumptions'!C55</f>
        <v>5000</v>
      </c>
      <c r="AS28" s="9">
        <f>'Drivers &amp; Assumptions'!C55</f>
        <v>5000</v>
      </c>
      <c r="AT28" s="9">
        <f>'Drivers &amp; Assumptions'!C55</f>
        <v>5000</v>
      </c>
      <c r="AU28" s="9">
        <f>'Drivers &amp; Assumptions'!C55</f>
        <v>5000</v>
      </c>
      <c r="AV28" s="9">
        <f>'Drivers &amp; Assumptions'!C55</f>
        <v>5000</v>
      </c>
      <c r="AW28" s="9">
        <f>'Drivers &amp; Assumptions'!C55</f>
        <v>5000</v>
      </c>
      <c r="AX28" s="9">
        <f>'Drivers &amp; Assumptions'!C55</f>
        <v>5000</v>
      </c>
      <c r="AY28" s="9">
        <f>'Drivers &amp; Assumptions'!C55</f>
        <v>5000</v>
      </c>
      <c r="AZ28" s="9">
        <f>'Drivers &amp; Assumptions'!C55</f>
        <v>5000</v>
      </c>
      <c r="BA28" s="9">
        <f>'Drivers &amp; Assumptions'!C55</f>
        <v>5000</v>
      </c>
      <c r="BB28" s="9">
        <f>'Drivers &amp; Assumptions'!C55</f>
        <v>5000</v>
      </c>
      <c r="BC28" s="9">
        <f>'Drivers &amp; Assumptions'!C55</f>
        <v>5000</v>
      </c>
      <c r="BD28" s="9">
        <f>'Drivers &amp; Assumptions'!C55</f>
        <v>5000</v>
      </c>
      <c r="BE28" s="9">
        <f>'Drivers &amp; Assumptions'!C55</f>
        <v>5000</v>
      </c>
      <c r="BF28" s="9">
        <f>'Drivers &amp; Assumptions'!C55</f>
        <v>5000</v>
      </c>
      <c r="BG28" s="9">
        <f>'Drivers &amp; Assumptions'!C55</f>
        <v>5000</v>
      </c>
      <c r="BH28" s="9">
        <f>'Drivers &amp; Assumptions'!C55</f>
        <v>5000</v>
      </c>
      <c r="BI28" s="9">
        <f>'Drivers &amp; Assumptions'!C55</f>
        <v>5000</v>
      </c>
    </row>
    <row r="29" spans="1:61" ht="15" customHeight="1" x14ac:dyDescent="0.35">
      <c r="A29" s="7" t="s">
        <v>300</v>
      </c>
      <c r="B29" s="9">
        <f>IF('Retail Revenue'!B8=1,'Drivers &amp; Assumptions'!C56,0)</f>
        <v>0</v>
      </c>
      <c r="C29" s="9">
        <f>IF('Retail Revenue'!C8=1,'Drivers &amp; Assumptions'!C56,0)</f>
        <v>0</v>
      </c>
      <c r="D29" s="9">
        <f>IF('Retail Revenue'!D8=1,'Drivers &amp; Assumptions'!C56,0)</f>
        <v>0</v>
      </c>
      <c r="E29" s="9">
        <f>IF('Retail Revenue'!E8=1,'Drivers &amp; Assumptions'!C56,0)</f>
        <v>0</v>
      </c>
      <c r="F29" s="9">
        <f>IF('Retail Revenue'!F8=1,'Drivers &amp; Assumptions'!C56,0)</f>
        <v>0</v>
      </c>
      <c r="G29" s="9">
        <f>IF('Retail Revenue'!G8=1,'Drivers &amp; Assumptions'!C56,0)</f>
        <v>0</v>
      </c>
      <c r="H29" s="9">
        <f>IF('Retail Revenue'!H8=1,'Drivers &amp; Assumptions'!C56,0)</f>
        <v>0</v>
      </c>
      <c r="I29" s="9">
        <f>IF('Retail Revenue'!I8=1,'Drivers &amp; Assumptions'!C56,0)</f>
        <v>0</v>
      </c>
      <c r="J29" s="9">
        <f>IF('Retail Revenue'!J8=1,'Drivers &amp; Assumptions'!C56,0)</f>
        <v>0</v>
      </c>
      <c r="K29" s="9">
        <f>IF('Retail Revenue'!K8=1,'Drivers &amp; Assumptions'!C56,0)</f>
        <v>0</v>
      </c>
      <c r="L29" s="9">
        <f>IF('Retail Revenue'!L8=1,'Drivers &amp; Assumptions'!C56,0)</f>
        <v>0</v>
      </c>
      <c r="M29" s="9">
        <f>IF('Retail Revenue'!M8=1,'Drivers &amp; Assumptions'!C56,0)</f>
        <v>0</v>
      </c>
      <c r="N29" s="9">
        <f>IF('Retail Revenue'!N8=1,'Drivers &amp; Assumptions'!C56,0)</f>
        <v>0</v>
      </c>
      <c r="O29" s="9">
        <f>IF('Retail Revenue'!O8=1,'Drivers &amp; Assumptions'!C56,0)</f>
        <v>0</v>
      </c>
      <c r="P29" s="9">
        <f>IF('Retail Revenue'!P8=1,'Drivers &amp; Assumptions'!C56,0)</f>
        <v>0</v>
      </c>
      <c r="Q29" s="9">
        <f>IF('Retail Revenue'!Q8=1,'Drivers &amp; Assumptions'!C56,0)</f>
        <v>0</v>
      </c>
      <c r="R29" s="9">
        <f>IF('Retail Revenue'!R8=1,'Drivers &amp; Assumptions'!C56,0)</f>
        <v>0</v>
      </c>
      <c r="S29" s="9">
        <f>IF('Retail Revenue'!S8=1,'Drivers &amp; Assumptions'!C56,0)</f>
        <v>0</v>
      </c>
      <c r="T29" s="9">
        <f>IF('Retail Revenue'!T8=1,'Drivers &amp; Assumptions'!C56,0)</f>
        <v>0</v>
      </c>
      <c r="U29" s="9">
        <f>IF('Retail Revenue'!U8=1,'Drivers &amp; Assumptions'!C56,0)</f>
        <v>0</v>
      </c>
      <c r="V29" s="9">
        <f>IF('Retail Revenue'!V8=1,'Drivers &amp; Assumptions'!C56,0)</f>
        <v>0</v>
      </c>
      <c r="W29" s="9">
        <f>IF('Retail Revenue'!W8=1,'Drivers &amp; Assumptions'!C56,0)</f>
        <v>0</v>
      </c>
      <c r="X29" s="9">
        <f>IF('Retail Revenue'!X8=1,'Drivers &amp; Assumptions'!C56,0)</f>
        <v>0</v>
      </c>
      <c r="Y29" s="9">
        <f>IF('Retail Revenue'!Y8=1,'Drivers &amp; Assumptions'!C56,0)</f>
        <v>0</v>
      </c>
      <c r="Z29" s="9">
        <f>IF('Retail Revenue'!Z8=1,'Drivers &amp; Assumptions'!C56,0)</f>
        <v>0</v>
      </c>
      <c r="AA29" s="9">
        <f>IF('Retail Revenue'!AA8=1,'Drivers &amp; Assumptions'!C56,0)</f>
        <v>0</v>
      </c>
      <c r="AB29" s="9">
        <f>IF('Retail Revenue'!AB8=1,'Drivers &amp; Assumptions'!C56,0)</f>
        <v>0</v>
      </c>
      <c r="AC29" s="9">
        <f>IF('Retail Revenue'!AC8=1,'Drivers &amp; Assumptions'!C56,0)</f>
        <v>0</v>
      </c>
      <c r="AD29" s="9">
        <f>IF('Retail Revenue'!AD8=1,'Drivers &amp; Assumptions'!C56,0)</f>
        <v>0</v>
      </c>
      <c r="AE29" s="9">
        <f>IF('Retail Revenue'!AE8=1,'Drivers &amp; Assumptions'!C56,0)</f>
        <v>0</v>
      </c>
      <c r="AF29" s="9">
        <f>IF('Retail Revenue'!AF8=1,'Drivers &amp; Assumptions'!C56,0)</f>
        <v>0</v>
      </c>
      <c r="AG29" s="9">
        <f>IF('Retail Revenue'!AG8=1,'Drivers &amp; Assumptions'!C56,0)</f>
        <v>0</v>
      </c>
      <c r="AH29" s="9">
        <f>IF('Retail Revenue'!AH8=1,'Drivers &amp; Assumptions'!C56,0)</f>
        <v>0</v>
      </c>
      <c r="AI29" s="9">
        <f>IF('Retail Revenue'!AI8=1,'Drivers &amp; Assumptions'!C56,0)</f>
        <v>0</v>
      </c>
      <c r="AJ29" s="9">
        <f>IF('Retail Revenue'!AJ8=1,'Drivers &amp; Assumptions'!C56,0)</f>
        <v>0</v>
      </c>
      <c r="AK29" s="9">
        <f>IF('Retail Revenue'!AK8=1,'Drivers &amp; Assumptions'!C56,0)</f>
        <v>0</v>
      </c>
      <c r="AL29" s="9">
        <f>IF('Retail Revenue'!AL8=1,'Drivers &amp; Assumptions'!C56,0)</f>
        <v>15000</v>
      </c>
      <c r="AM29" s="9">
        <f>IF('Retail Revenue'!AM8=1,'Drivers &amp; Assumptions'!C56,0)</f>
        <v>15000</v>
      </c>
      <c r="AN29" s="9">
        <f>IF('Retail Revenue'!AN8=1,'Drivers &amp; Assumptions'!C56,0)</f>
        <v>15000</v>
      </c>
      <c r="AO29" s="9">
        <f>IF('Retail Revenue'!AO8=1,'Drivers &amp; Assumptions'!C56,0)</f>
        <v>15000</v>
      </c>
      <c r="AP29" s="9">
        <f>IF('Retail Revenue'!AP8=1,'Drivers &amp; Assumptions'!C56,0)</f>
        <v>15000</v>
      </c>
      <c r="AQ29" s="9">
        <f>IF('Retail Revenue'!AQ8=1,'Drivers &amp; Assumptions'!C56,0)</f>
        <v>15000</v>
      </c>
      <c r="AR29" s="9">
        <f>IF('Retail Revenue'!AR8=1,'Drivers &amp; Assumptions'!C56,0)</f>
        <v>15000</v>
      </c>
      <c r="AS29" s="9">
        <f>IF('Retail Revenue'!AS8=1,'Drivers &amp; Assumptions'!C56,0)</f>
        <v>15000</v>
      </c>
      <c r="AT29" s="9">
        <f>IF('Retail Revenue'!AT8=1,'Drivers &amp; Assumptions'!C56,0)</f>
        <v>15000</v>
      </c>
      <c r="AU29" s="9">
        <f>IF('Retail Revenue'!AU8=1,'Drivers &amp; Assumptions'!C56,0)</f>
        <v>15000</v>
      </c>
      <c r="AV29" s="9">
        <f>IF('Retail Revenue'!AV8=1,'Drivers &amp; Assumptions'!C56,0)</f>
        <v>15000</v>
      </c>
      <c r="AW29" s="9">
        <f>IF('Retail Revenue'!AW8=1,'Drivers &amp; Assumptions'!C56,0)</f>
        <v>15000</v>
      </c>
      <c r="AX29" s="9">
        <f>IF('Retail Revenue'!AX8=1,'Drivers &amp; Assumptions'!C56,0)</f>
        <v>15000</v>
      </c>
      <c r="AY29" s="9">
        <f>IF('Retail Revenue'!AY8=1,'Drivers &amp; Assumptions'!C56,0)</f>
        <v>15000</v>
      </c>
      <c r="AZ29" s="9">
        <f>IF('Retail Revenue'!AZ8=1,'Drivers &amp; Assumptions'!C56,0)</f>
        <v>15000</v>
      </c>
      <c r="BA29" s="9">
        <f>IF('Retail Revenue'!BA8=1,'Drivers &amp; Assumptions'!C56,0)</f>
        <v>15000</v>
      </c>
      <c r="BB29" s="9">
        <f>IF('Retail Revenue'!BB8=1,'Drivers &amp; Assumptions'!C56,0)</f>
        <v>15000</v>
      </c>
      <c r="BC29" s="9">
        <f>IF('Retail Revenue'!BC8=1,'Drivers &amp; Assumptions'!C56,0)</f>
        <v>15000</v>
      </c>
      <c r="BD29" s="9">
        <f>IF('Retail Revenue'!BD8=1,'Drivers &amp; Assumptions'!C56,0)</f>
        <v>15000</v>
      </c>
      <c r="BE29" s="9">
        <f>IF('Retail Revenue'!BE8=1,'Drivers &amp; Assumptions'!C56,0)</f>
        <v>15000</v>
      </c>
      <c r="BF29" s="9">
        <f>IF('Retail Revenue'!BF8=1,'Drivers &amp; Assumptions'!C56,0)</f>
        <v>15000</v>
      </c>
      <c r="BG29" s="9">
        <f>IF('Retail Revenue'!BG8=1,'Drivers &amp; Assumptions'!C56,0)</f>
        <v>15000</v>
      </c>
      <c r="BH29" s="9">
        <f>IF('Retail Revenue'!BH8=1,'Drivers &amp; Assumptions'!C56,0)</f>
        <v>15000</v>
      </c>
      <c r="BI29" s="9">
        <f>IF('Retail Revenue'!BI8=1,'Drivers &amp; Assumptions'!C56,0)</f>
        <v>15000</v>
      </c>
    </row>
    <row r="30" spans="1:61" ht="15" customHeight="1" x14ac:dyDescent="0.35">
      <c r="A30" s="7" t="s">
        <v>301</v>
      </c>
      <c r="B30" s="9">
        <f>'Drivers &amp; Assumptions'!C62</f>
        <v>500</v>
      </c>
      <c r="C30" s="9">
        <f>'Drivers &amp; Assumptions'!C62</f>
        <v>500</v>
      </c>
      <c r="D30" s="9">
        <f>'Drivers &amp; Assumptions'!C62</f>
        <v>500</v>
      </c>
      <c r="E30" s="9">
        <f>'Drivers &amp; Assumptions'!C62</f>
        <v>500</v>
      </c>
      <c r="F30" s="9">
        <f>'Drivers &amp; Assumptions'!C62</f>
        <v>500</v>
      </c>
      <c r="G30" s="9">
        <f>'Drivers &amp; Assumptions'!C62</f>
        <v>500</v>
      </c>
      <c r="H30" s="9">
        <f>'Drivers &amp; Assumptions'!C62</f>
        <v>500</v>
      </c>
      <c r="I30" s="9">
        <f>'Drivers &amp; Assumptions'!C62</f>
        <v>500</v>
      </c>
      <c r="J30" s="9">
        <f>'Drivers &amp; Assumptions'!C62</f>
        <v>500</v>
      </c>
      <c r="K30" s="9">
        <f>'Drivers &amp; Assumptions'!C62</f>
        <v>500</v>
      </c>
      <c r="L30" s="9">
        <f>'Drivers &amp; Assumptions'!C62</f>
        <v>500</v>
      </c>
      <c r="M30" s="9">
        <f>'Drivers &amp; Assumptions'!C62</f>
        <v>500</v>
      </c>
      <c r="N30" s="9">
        <f>'Drivers &amp; Assumptions'!C62</f>
        <v>500</v>
      </c>
      <c r="O30" s="9">
        <f>'Drivers &amp; Assumptions'!C62</f>
        <v>500</v>
      </c>
      <c r="P30" s="9">
        <f>'Drivers &amp; Assumptions'!C62</f>
        <v>500</v>
      </c>
      <c r="Q30" s="9">
        <f>'Drivers &amp; Assumptions'!C62</f>
        <v>500</v>
      </c>
      <c r="R30" s="9">
        <f>'Drivers &amp; Assumptions'!C62</f>
        <v>500</v>
      </c>
      <c r="S30" s="9">
        <f>'Drivers &amp; Assumptions'!C62</f>
        <v>500</v>
      </c>
      <c r="T30" s="9">
        <f>'Drivers &amp; Assumptions'!C62</f>
        <v>500</v>
      </c>
      <c r="U30" s="9">
        <f>'Drivers &amp; Assumptions'!C62</f>
        <v>500</v>
      </c>
      <c r="V30" s="9">
        <f>'Drivers &amp; Assumptions'!C62</f>
        <v>500</v>
      </c>
      <c r="W30" s="9">
        <f>'Drivers &amp; Assumptions'!C62</f>
        <v>500</v>
      </c>
      <c r="X30" s="9">
        <f>'Drivers &amp; Assumptions'!C62</f>
        <v>500</v>
      </c>
      <c r="Y30" s="9">
        <f>'Drivers &amp; Assumptions'!C62</f>
        <v>500</v>
      </c>
      <c r="Z30" s="9">
        <f>'Drivers &amp; Assumptions'!C62</f>
        <v>500</v>
      </c>
      <c r="AA30" s="9">
        <f>'Drivers &amp; Assumptions'!C62</f>
        <v>500</v>
      </c>
      <c r="AB30" s="9">
        <f>'Drivers &amp; Assumptions'!C62</f>
        <v>500</v>
      </c>
      <c r="AC30" s="9">
        <f>'Drivers &amp; Assumptions'!C62</f>
        <v>500</v>
      </c>
      <c r="AD30" s="9">
        <f>'Drivers &amp; Assumptions'!C62</f>
        <v>500</v>
      </c>
      <c r="AE30" s="9">
        <f>'Drivers &amp; Assumptions'!C62</f>
        <v>500</v>
      </c>
      <c r="AF30" s="9">
        <f>'Drivers &amp; Assumptions'!C62</f>
        <v>500</v>
      </c>
      <c r="AG30" s="9">
        <f>'Drivers &amp; Assumptions'!C62</f>
        <v>500</v>
      </c>
      <c r="AH30" s="9">
        <f>'Drivers &amp; Assumptions'!C62</f>
        <v>500</v>
      </c>
      <c r="AI30" s="9">
        <f>'Drivers &amp; Assumptions'!C62</f>
        <v>500</v>
      </c>
      <c r="AJ30" s="9">
        <f>'Drivers &amp; Assumptions'!C62</f>
        <v>500</v>
      </c>
      <c r="AK30" s="9">
        <f>'Drivers &amp; Assumptions'!C62</f>
        <v>500</v>
      </c>
      <c r="AL30" s="9">
        <f>'Drivers &amp; Assumptions'!C62</f>
        <v>500</v>
      </c>
      <c r="AM30" s="9">
        <f>'Drivers &amp; Assumptions'!C62</f>
        <v>500</v>
      </c>
      <c r="AN30" s="9">
        <f>'Drivers &amp; Assumptions'!C62</f>
        <v>500</v>
      </c>
      <c r="AO30" s="9">
        <f>'Drivers &amp; Assumptions'!C62</f>
        <v>500</v>
      </c>
      <c r="AP30" s="9">
        <f>'Drivers &amp; Assumptions'!C62</f>
        <v>500</v>
      </c>
      <c r="AQ30" s="9">
        <f>'Drivers &amp; Assumptions'!C62</f>
        <v>500</v>
      </c>
      <c r="AR30" s="9">
        <f>'Drivers &amp; Assumptions'!C62</f>
        <v>500</v>
      </c>
      <c r="AS30" s="9">
        <f>'Drivers &amp; Assumptions'!C62</f>
        <v>500</v>
      </c>
      <c r="AT30" s="9">
        <f>'Drivers &amp; Assumptions'!C62</f>
        <v>500</v>
      </c>
      <c r="AU30" s="9">
        <f>'Drivers &amp; Assumptions'!C62</f>
        <v>500</v>
      </c>
      <c r="AV30" s="9">
        <f>'Drivers &amp; Assumptions'!C62</f>
        <v>500</v>
      </c>
      <c r="AW30" s="9">
        <f>'Drivers &amp; Assumptions'!C62</f>
        <v>500</v>
      </c>
      <c r="AX30" s="9">
        <f>'Drivers &amp; Assumptions'!C62</f>
        <v>500</v>
      </c>
      <c r="AY30" s="9">
        <f>'Drivers &amp; Assumptions'!C62</f>
        <v>500</v>
      </c>
      <c r="AZ30" s="9">
        <f>'Drivers &amp; Assumptions'!C62</f>
        <v>500</v>
      </c>
      <c r="BA30" s="9">
        <f>'Drivers &amp; Assumptions'!C62</f>
        <v>500</v>
      </c>
      <c r="BB30" s="9">
        <f>'Drivers &amp; Assumptions'!C62</f>
        <v>500</v>
      </c>
      <c r="BC30" s="9">
        <f>'Drivers &amp; Assumptions'!C62</f>
        <v>500</v>
      </c>
      <c r="BD30" s="9">
        <f>'Drivers &amp; Assumptions'!C62</f>
        <v>500</v>
      </c>
      <c r="BE30" s="9">
        <f>'Drivers &amp; Assumptions'!C62</f>
        <v>500</v>
      </c>
      <c r="BF30" s="9">
        <f>'Drivers &amp; Assumptions'!C62</f>
        <v>500</v>
      </c>
      <c r="BG30" s="9">
        <f>'Drivers &amp; Assumptions'!C62</f>
        <v>500</v>
      </c>
      <c r="BH30" s="9">
        <f>'Drivers &amp; Assumptions'!C62</f>
        <v>500</v>
      </c>
      <c r="BI30" s="9">
        <f>'Drivers &amp; Assumptions'!C62</f>
        <v>500</v>
      </c>
    </row>
    <row r="32" spans="1:61" ht="15" customHeight="1" x14ac:dyDescent="0.35">
      <c r="A32" s="10" t="s">
        <v>30</v>
      </c>
      <c r="B32" s="12">
        <f t="shared" ref="B32:AG32" si="4">SUM(B22:B30)</f>
        <v>39500</v>
      </c>
      <c r="C32" s="12">
        <f t="shared" si="4"/>
        <v>39500</v>
      </c>
      <c r="D32" s="12">
        <f t="shared" si="4"/>
        <v>39500</v>
      </c>
      <c r="E32" s="12">
        <f t="shared" si="4"/>
        <v>39500</v>
      </c>
      <c r="F32" s="12">
        <f t="shared" si="4"/>
        <v>39500</v>
      </c>
      <c r="G32" s="12">
        <f t="shared" si="4"/>
        <v>39500</v>
      </c>
      <c r="H32" s="12">
        <f t="shared" si="4"/>
        <v>39500</v>
      </c>
      <c r="I32" s="12">
        <f t="shared" si="4"/>
        <v>39500</v>
      </c>
      <c r="J32" s="12">
        <f t="shared" si="4"/>
        <v>39500</v>
      </c>
      <c r="K32" s="12">
        <f t="shared" si="4"/>
        <v>69500</v>
      </c>
      <c r="L32" s="12">
        <f t="shared" si="4"/>
        <v>80500</v>
      </c>
      <c r="M32" s="12">
        <f t="shared" si="4"/>
        <v>81550</v>
      </c>
      <c r="N32" s="12">
        <f t="shared" si="4"/>
        <v>109902.5</v>
      </c>
      <c r="O32" s="12">
        <f t="shared" si="4"/>
        <v>111060.125</v>
      </c>
      <c r="P32" s="12">
        <f t="shared" si="4"/>
        <v>112275.63125000001</v>
      </c>
      <c r="Q32" s="12">
        <f t="shared" si="4"/>
        <v>113551.9128125</v>
      </c>
      <c r="R32" s="12">
        <f t="shared" si="4"/>
        <v>114892.008453125</v>
      </c>
      <c r="S32" s="12">
        <f t="shared" si="4"/>
        <v>116299.10887578125</v>
      </c>
      <c r="T32" s="12">
        <f t="shared" si="4"/>
        <v>117776.56431957032</v>
      </c>
      <c r="U32" s="12">
        <f t="shared" si="4"/>
        <v>119327.89253554883</v>
      </c>
      <c r="V32" s="12">
        <f t="shared" si="4"/>
        <v>120956.78716232628</v>
      </c>
      <c r="W32" s="12">
        <f t="shared" si="4"/>
        <v>122667.1265204426</v>
      </c>
      <c r="X32" s="12">
        <f t="shared" si="4"/>
        <v>124462.98284646473</v>
      </c>
      <c r="Y32" s="12">
        <f t="shared" si="4"/>
        <v>126348.63198878797</v>
      </c>
      <c r="Z32" s="12">
        <f t="shared" si="4"/>
        <v>180771.06358822738</v>
      </c>
      <c r="AA32" s="12">
        <f t="shared" si="4"/>
        <v>182849.99176763874</v>
      </c>
      <c r="AB32" s="12">
        <f t="shared" si="4"/>
        <v>185032.86635602068</v>
      </c>
      <c r="AC32" s="12">
        <f t="shared" si="4"/>
        <v>187324.88467382171</v>
      </c>
      <c r="AD32" s="12">
        <f t="shared" si="4"/>
        <v>189731.50390751282</v>
      </c>
      <c r="AE32" s="12">
        <f t="shared" si="4"/>
        <v>192258.45410288844</v>
      </c>
      <c r="AF32" s="12">
        <f t="shared" si="4"/>
        <v>194911.75180803286</v>
      </c>
      <c r="AG32" s="12">
        <f t="shared" si="4"/>
        <v>197697.7143984345</v>
      </c>
      <c r="AH32" s="12">
        <f t="shared" ref="AH32:BI32" si="5">SUM(AH22:AH30)</f>
        <v>200622.97511835623</v>
      </c>
      <c r="AI32" s="12">
        <f t="shared" si="5"/>
        <v>203694.49887427405</v>
      </c>
      <c r="AJ32" s="12">
        <f t="shared" si="5"/>
        <v>206919.59881798775</v>
      </c>
      <c r="AK32" s="12">
        <f t="shared" si="5"/>
        <v>210305.95375888713</v>
      </c>
      <c r="AL32" s="12">
        <f t="shared" si="5"/>
        <v>331514.25144683151</v>
      </c>
      <c r="AM32" s="12">
        <f t="shared" si="5"/>
        <v>335247.70776917308</v>
      </c>
      <c r="AN32" s="12">
        <f t="shared" si="5"/>
        <v>339167.83690763172</v>
      </c>
      <c r="AO32" s="12">
        <f t="shared" si="5"/>
        <v>343283.97250301333</v>
      </c>
      <c r="AP32" s="12">
        <f t="shared" si="5"/>
        <v>347605.91487816395</v>
      </c>
      <c r="AQ32" s="12">
        <f t="shared" si="5"/>
        <v>352143.95437207218</v>
      </c>
      <c r="AR32" s="12">
        <f t="shared" si="5"/>
        <v>356908.8958406758</v>
      </c>
      <c r="AS32" s="12">
        <f t="shared" si="5"/>
        <v>361912.08438270958</v>
      </c>
      <c r="AT32" s="12">
        <f t="shared" si="5"/>
        <v>367165.43235184508</v>
      </c>
      <c r="AU32" s="12">
        <f t="shared" si="5"/>
        <v>372681.44771943736</v>
      </c>
      <c r="AV32" s="12">
        <f t="shared" si="5"/>
        <v>378473.26385540923</v>
      </c>
      <c r="AW32" s="12">
        <f t="shared" si="5"/>
        <v>384554.67079817969</v>
      </c>
      <c r="AX32" s="12">
        <f t="shared" si="5"/>
        <v>593822.20433808875</v>
      </c>
      <c r="AY32" s="12">
        <f t="shared" si="5"/>
        <v>600526.95549249311</v>
      </c>
      <c r="AZ32" s="12">
        <f t="shared" si="5"/>
        <v>607566.94420461787</v>
      </c>
      <c r="BA32" s="12">
        <f t="shared" si="5"/>
        <v>614958.93235234881</v>
      </c>
      <c r="BB32" s="12">
        <f t="shared" si="5"/>
        <v>622720.51990746625</v>
      </c>
      <c r="BC32" s="12">
        <f t="shared" si="5"/>
        <v>630870.18684033945</v>
      </c>
      <c r="BD32" s="12">
        <f t="shared" si="5"/>
        <v>639427.3371198565</v>
      </c>
      <c r="BE32" s="12">
        <f t="shared" si="5"/>
        <v>648412.34491334937</v>
      </c>
      <c r="BF32" s="12">
        <f t="shared" si="5"/>
        <v>657846.6030965168</v>
      </c>
      <c r="BG32" s="12">
        <f t="shared" si="5"/>
        <v>667752.57418884267</v>
      </c>
      <c r="BH32" s="12">
        <f t="shared" si="5"/>
        <v>678153.84383578482</v>
      </c>
      <c r="BI32" s="12">
        <f t="shared" si="5"/>
        <v>689075.17696507403</v>
      </c>
    </row>
    <row r="34" spans="1:61" ht="15" customHeight="1" x14ac:dyDescent="0.35">
      <c r="A34" s="10" t="s">
        <v>31</v>
      </c>
      <c r="B34" s="30">
        <f t="shared" ref="B34:AG34" si="6">B18-B32+B30</f>
        <v>-7909.619999999999</v>
      </c>
      <c r="C34" s="30">
        <f t="shared" si="6"/>
        <v>12420.419999999998</v>
      </c>
      <c r="D34" s="30">
        <f t="shared" si="6"/>
        <v>30276.630000000005</v>
      </c>
      <c r="E34" s="30">
        <f t="shared" si="6"/>
        <v>735.08999999999651</v>
      </c>
      <c r="F34" s="30">
        <f t="shared" si="6"/>
        <v>12246.630000000005</v>
      </c>
      <c r="G34" s="30">
        <f t="shared" si="6"/>
        <v>2386.3499999999985</v>
      </c>
      <c r="H34" s="30">
        <f t="shared" si="6"/>
        <v>1187.7299999999959</v>
      </c>
      <c r="I34" s="30">
        <f t="shared" si="6"/>
        <v>87789.54</v>
      </c>
      <c r="J34" s="30">
        <f t="shared" si="6"/>
        <v>29716</v>
      </c>
      <c r="K34" s="30">
        <f t="shared" si="6"/>
        <v>-41684.160000000003</v>
      </c>
      <c r="L34" s="30">
        <f t="shared" si="6"/>
        <v>-23164.160000000003</v>
      </c>
      <c r="M34" s="30">
        <f t="shared" si="6"/>
        <v>26388.080000000002</v>
      </c>
      <c r="N34" s="30">
        <f t="shared" si="6"/>
        <v>-18874.5</v>
      </c>
      <c r="O34" s="30">
        <f t="shared" si="6"/>
        <v>-3658.3649999999907</v>
      </c>
      <c r="P34" s="30">
        <f t="shared" si="6"/>
        <v>51330.288749999978</v>
      </c>
      <c r="Q34" s="30">
        <f t="shared" si="6"/>
        <v>25731.447187499987</v>
      </c>
      <c r="R34" s="30">
        <f t="shared" si="6"/>
        <v>40214.071546875013</v>
      </c>
      <c r="S34" s="30">
        <f t="shared" si="6"/>
        <v>94853.691124218734</v>
      </c>
      <c r="T34" s="30">
        <f t="shared" si="6"/>
        <v>69211.115680429677</v>
      </c>
      <c r="U34" s="30">
        <f t="shared" si="6"/>
        <v>83639.947464451165</v>
      </c>
      <c r="V34" s="30">
        <f t="shared" si="6"/>
        <v>138608.81283767373</v>
      </c>
      <c r="W34" s="30">
        <f t="shared" si="6"/>
        <v>113284.39347955739</v>
      </c>
      <c r="X34" s="30">
        <f t="shared" si="6"/>
        <v>128492.05715353528</v>
      </c>
      <c r="Y34" s="30">
        <f t="shared" si="6"/>
        <v>184306.24801121204</v>
      </c>
      <c r="Z34" s="30">
        <f t="shared" si="6"/>
        <v>107529.25641177263</v>
      </c>
      <c r="AA34" s="30">
        <f t="shared" si="6"/>
        <v>123870.80823236125</v>
      </c>
      <c r="AB34" s="30">
        <f t="shared" si="6"/>
        <v>194448.89364397933</v>
      </c>
      <c r="AC34" s="30">
        <f t="shared" si="6"/>
        <v>158283.59532617827</v>
      </c>
      <c r="AD34" s="30">
        <f t="shared" si="6"/>
        <v>176422.89609248721</v>
      </c>
      <c r="AE34" s="30">
        <f t="shared" si="6"/>
        <v>248939.78589711155</v>
      </c>
      <c r="AF34" s="30">
        <f t="shared" si="6"/>
        <v>214853.52819196717</v>
      </c>
      <c r="AG34" s="30">
        <f t="shared" si="6"/>
        <v>235289.96560156549</v>
      </c>
      <c r="AH34" s="30">
        <f t="shared" ref="AH34:BI34" si="7">AH18-AH32+AH30</f>
        <v>310163.74488164374</v>
      </c>
      <c r="AI34" s="30">
        <f t="shared" si="7"/>
        <v>278729.341125726</v>
      </c>
      <c r="AJ34" s="30">
        <f t="shared" si="7"/>
        <v>301796.72118201223</v>
      </c>
      <c r="AK34" s="30">
        <f t="shared" si="7"/>
        <v>379594.36624111293</v>
      </c>
      <c r="AL34" s="30">
        <f t="shared" si="7"/>
        <v>238017.58855316858</v>
      </c>
      <c r="AM34" s="30">
        <f t="shared" si="7"/>
        <v>265628.61223082698</v>
      </c>
      <c r="AN34" s="30">
        <f t="shared" si="7"/>
        <v>361509.92309236829</v>
      </c>
      <c r="AO34" s="30">
        <f t="shared" si="7"/>
        <v>324526.18749698659</v>
      </c>
      <c r="AP34" s="30">
        <f t="shared" si="7"/>
        <v>355957.04512183601</v>
      </c>
      <c r="AQ34" s="30">
        <f t="shared" si="7"/>
        <v>455943.64562792779</v>
      </c>
      <c r="AR34" s="30">
        <f t="shared" si="7"/>
        <v>423427.90415932424</v>
      </c>
      <c r="AS34" s="30">
        <f t="shared" si="7"/>
        <v>459530.47561729047</v>
      </c>
      <c r="AT34" s="30">
        <f t="shared" si="7"/>
        <v>564312.16764815489</v>
      </c>
      <c r="AU34" s="30">
        <f t="shared" si="7"/>
        <v>536870.63228056254</v>
      </c>
      <c r="AV34" s="30">
        <f t="shared" si="7"/>
        <v>578403.45614459075</v>
      </c>
      <c r="AW34" s="30">
        <f t="shared" si="7"/>
        <v>688812.12920182035</v>
      </c>
      <c r="AX34" s="30">
        <f t="shared" si="7"/>
        <v>466620.99566191121</v>
      </c>
      <c r="AY34" s="30">
        <f t="shared" si="7"/>
        <v>514618.87450750696</v>
      </c>
      <c r="AZ34" s="30">
        <f t="shared" si="7"/>
        <v>645169.83579538215</v>
      </c>
      <c r="BA34" s="30">
        <f t="shared" si="7"/>
        <v>617385.4376476513</v>
      </c>
      <c r="BB34" s="30">
        <f t="shared" si="7"/>
        <v>672519.36009253364</v>
      </c>
      <c r="BC34" s="30">
        <f t="shared" si="7"/>
        <v>810934.7231596607</v>
      </c>
      <c r="BD34" s="30">
        <f t="shared" si="7"/>
        <v>791116.68288014352</v>
      </c>
      <c r="BE34" s="30">
        <f t="shared" si="7"/>
        <v>854703.74508665048</v>
      </c>
      <c r="BF34" s="30">
        <f t="shared" si="7"/>
        <v>1001837.9569034833</v>
      </c>
      <c r="BG34" s="30">
        <f t="shared" si="7"/>
        <v>991377.01581115718</v>
      </c>
      <c r="BH34" s="30">
        <f t="shared" si="7"/>
        <v>1064804.7761642153</v>
      </c>
      <c r="BI34" s="30">
        <f t="shared" si="7"/>
        <v>1222253.9130349262</v>
      </c>
    </row>
    <row r="35" spans="1:61" ht="15" customHeight="1" x14ac:dyDescent="0.35">
      <c r="A35" s="16" t="s">
        <v>32</v>
      </c>
      <c r="B35" s="15">
        <f t="shared" ref="B35:AG35" si="8">IF(B10=0,0,B34/B10)</f>
        <v>-0.16551477358332634</v>
      </c>
      <c r="C35" s="15">
        <f t="shared" si="8"/>
        <v>0.15760554265484028</v>
      </c>
      <c r="D35" s="15">
        <f t="shared" si="8"/>
        <v>0.27388511465918863</v>
      </c>
      <c r="E35" s="15">
        <f t="shared" si="8"/>
        <v>1.1743964980109541E-2</v>
      </c>
      <c r="F35" s="15">
        <f t="shared" si="8"/>
        <v>0.15266685781246112</v>
      </c>
      <c r="G35" s="15">
        <f t="shared" si="8"/>
        <v>3.6436718427923571E-2</v>
      </c>
      <c r="H35" s="15">
        <f t="shared" si="8"/>
        <v>1.8570468119703493E-2</v>
      </c>
      <c r="I35" s="15">
        <f t="shared" si="8"/>
        <v>0.44037672246439696</v>
      </c>
      <c r="J35" s="15">
        <f t="shared" si="8"/>
        <v>0.3116191275167785</v>
      </c>
      <c r="K35" s="15">
        <f t="shared" si="8"/>
        <v>-0.95339097022094144</v>
      </c>
      <c r="L35" s="15">
        <f t="shared" si="8"/>
        <v>-0.2546295563470079</v>
      </c>
      <c r="M35" s="15">
        <f t="shared" si="8"/>
        <v>0.1612234075051627</v>
      </c>
      <c r="N35" s="15">
        <f t="shared" si="8"/>
        <v>-0.13025879917184266</v>
      </c>
      <c r="O35" s="15">
        <f t="shared" si="8"/>
        <v>-2.1380443930149325E-2</v>
      </c>
      <c r="P35" s="15">
        <f t="shared" si="8"/>
        <v>0.20440704668721468</v>
      </c>
      <c r="Q35" s="15">
        <f t="shared" si="8"/>
        <v>0.11583541396564292</v>
      </c>
      <c r="R35" s="15">
        <f t="shared" si="8"/>
        <v>0.16250473421133987</v>
      </c>
      <c r="S35" s="15">
        <f t="shared" si="8"/>
        <v>0.28987565360586615</v>
      </c>
      <c r="T35" s="15">
        <f t="shared" si="8"/>
        <v>0.23186769476247321</v>
      </c>
      <c r="U35" s="15">
        <f t="shared" si="8"/>
        <v>0.25809063252749748</v>
      </c>
      <c r="V35" s="15">
        <f t="shared" si="8"/>
        <v>0.34248752900253449</v>
      </c>
      <c r="W35" s="15">
        <f t="shared" si="8"/>
        <v>0.30059595049581916</v>
      </c>
      <c r="X35" s="15">
        <f t="shared" si="8"/>
        <v>0.31798510488845155</v>
      </c>
      <c r="Y35" s="15">
        <f t="shared" si="8"/>
        <v>0.37885211087515785</v>
      </c>
      <c r="Z35" s="15">
        <f t="shared" si="8"/>
        <v>0.23342636677210896</v>
      </c>
      <c r="AA35" s="15">
        <f t="shared" si="8"/>
        <v>0.25272536057526673</v>
      </c>
      <c r="AB35" s="15">
        <f t="shared" si="8"/>
        <v>0.32772248622863231</v>
      </c>
      <c r="AC35" s="15">
        <f t="shared" si="8"/>
        <v>0.28654630714535229</v>
      </c>
      <c r="AD35" s="15">
        <f t="shared" si="8"/>
        <v>0.30143847470823243</v>
      </c>
      <c r="AE35" s="15">
        <f t="shared" si="8"/>
        <v>0.35967824257873882</v>
      </c>
      <c r="AF35" s="15">
        <f t="shared" si="8"/>
        <v>0.32798359909257147</v>
      </c>
      <c r="AG35" s="15">
        <f t="shared" si="8"/>
        <v>0.3398945539456687</v>
      </c>
      <c r="AH35" s="15">
        <f t="shared" ref="AH35:BI35" si="9">IF(AH10=0,0,AH34/AH10)</f>
        <v>0.386014900873481</v>
      </c>
      <c r="AI35" s="15">
        <f t="shared" si="9"/>
        <v>0.36134231100652603</v>
      </c>
      <c r="AJ35" s="15">
        <f t="shared" si="9"/>
        <v>0.37100558749583534</v>
      </c>
      <c r="AK35" s="15">
        <f t="shared" si="9"/>
        <v>0.408108060190503</v>
      </c>
      <c r="AL35" s="15">
        <f t="shared" si="9"/>
        <v>0.26163829370923863</v>
      </c>
      <c r="AM35" s="15">
        <f t="shared" si="9"/>
        <v>0.27680719395135867</v>
      </c>
      <c r="AN35" s="15">
        <f t="shared" si="9"/>
        <v>0.32790015699988051</v>
      </c>
      <c r="AO35" s="15">
        <f t="shared" si="9"/>
        <v>0.30437303978663399</v>
      </c>
      <c r="AP35" s="15">
        <f t="shared" si="9"/>
        <v>0.31692348145225097</v>
      </c>
      <c r="AQ35" s="15">
        <f t="shared" si="9"/>
        <v>0.35799370420720333</v>
      </c>
      <c r="AR35" s="15">
        <f t="shared" si="9"/>
        <v>0.33996347211931194</v>
      </c>
      <c r="AS35" s="15">
        <f t="shared" si="9"/>
        <v>0.35051102996673644</v>
      </c>
      <c r="AT35" s="15">
        <f t="shared" si="9"/>
        <v>0.38380906651877439</v>
      </c>
      <c r="AU35" s="15">
        <f t="shared" si="9"/>
        <v>0.36986788489346517</v>
      </c>
      <c r="AV35" s="15">
        <f t="shared" si="9"/>
        <v>0.37878567705216309</v>
      </c>
      <c r="AW35" s="15">
        <f t="shared" si="9"/>
        <v>0.4059979896155349</v>
      </c>
      <c r="AX35" s="15">
        <f t="shared" si="9"/>
        <v>0.27583354948696515</v>
      </c>
      <c r="AY35" s="15">
        <f t="shared" si="9"/>
        <v>0.2892854610479591</v>
      </c>
      <c r="AZ35" s="15">
        <f t="shared" si="9"/>
        <v>0.32601525036200002</v>
      </c>
      <c r="BA35" s="15">
        <f t="shared" si="9"/>
        <v>0.31404482780163501</v>
      </c>
      <c r="BB35" s="15">
        <f t="shared" si="9"/>
        <v>0.32547443373557122</v>
      </c>
      <c r="BC35" s="15">
        <f t="shared" si="9"/>
        <v>0.35556972825869526</v>
      </c>
      <c r="BD35" s="15">
        <f t="shared" si="9"/>
        <v>0.34664074600464262</v>
      </c>
      <c r="BE35" s="15">
        <f t="shared" si="9"/>
        <v>0.35640946046201277</v>
      </c>
      <c r="BF35" s="15">
        <f t="shared" si="9"/>
        <v>0.38114639260147598</v>
      </c>
      <c r="BG35" s="15">
        <f t="shared" si="9"/>
        <v>0.37450065703880642</v>
      </c>
      <c r="BH35" s="15">
        <f t="shared" si="9"/>
        <v>0.3828756595169831</v>
      </c>
      <c r="BI35" s="15">
        <f t="shared" si="9"/>
        <v>0.40333580928585988</v>
      </c>
    </row>
    <row r="37" spans="1:61" ht="15" customHeight="1" x14ac:dyDescent="0.35">
      <c r="A37" s="10" t="s">
        <v>302</v>
      </c>
      <c r="B37" s="30">
        <f t="shared" ref="B37:AG37" si="10">B18-B32</f>
        <v>-8409.619999999999</v>
      </c>
      <c r="C37" s="30">
        <f t="shared" si="10"/>
        <v>11920.419999999998</v>
      </c>
      <c r="D37" s="30">
        <f t="shared" si="10"/>
        <v>29776.630000000005</v>
      </c>
      <c r="E37" s="30">
        <f t="shared" si="10"/>
        <v>235.08999999999651</v>
      </c>
      <c r="F37" s="30">
        <f t="shared" si="10"/>
        <v>11746.630000000005</v>
      </c>
      <c r="G37" s="30">
        <f t="shared" si="10"/>
        <v>1886.3499999999985</v>
      </c>
      <c r="H37" s="30">
        <f t="shared" si="10"/>
        <v>687.72999999999593</v>
      </c>
      <c r="I37" s="30">
        <f t="shared" si="10"/>
        <v>87289.54</v>
      </c>
      <c r="J37" s="30">
        <f t="shared" si="10"/>
        <v>29216</v>
      </c>
      <c r="K37" s="30">
        <f t="shared" si="10"/>
        <v>-42184.160000000003</v>
      </c>
      <c r="L37" s="30">
        <f t="shared" si="10"/>
        <v>-23664.160000000003</v>
      </c>
      <c r="M37" s="30">
        <f t="shared" si="10"/>
        <v>25888.080000000002</v>
      </c>
      <c r="N37" s="30">
        <f t="shared" si="10"/>
        <v>-19374.5</v>
      </c>
      <c r="O37" s="30">
        <f t="shared" si="10"/>
        <v>-4158.3649999999907</v>
      </c>
      <c r="P37" s="30">
        <f t="shared" si="10"/>
        <v>50830.288749999978</v>
      </c>
      <c r="Q37" s="30">
        <f t="shared" si="10"/>
        <v>25231.447187499987</v>
      </c>
      <c r="R37" s="30">
        <f t="shared" si="10"/>
        <v>39714.071546875013</v>
      </c>
      <c r="S37" s="30">
        <f t="shared" si="10"/>
        <v>94353.691124218734</v>
      </c>
      <c r="T37" s="30">
        <f t="shared" si="10"/>
        <v>68711.115680429677</v>
      </c>
      <c r="U37" s="30">
        <f t="shared" si="10"/>
        <v>83139.947464451165</v>
      </c>
      <c r="V37" s="30">
        <f t="shared" si="10"/>
        <v>138108.81283767373</v>
      </c>
      <c r="W37" s="30">
        <f t="shared" si="10"/>
        <v>112784.39347955739</v>
      </c>
      <c r="X37" s="30">
        <f t="shared" si="10"/>
        <v>127992.05715353528</v>
      </c>
      <c r="Y37" s="30">
        <f t="shared" si="10"/>
        <v>183806.24801121204</v>
      </c>
      <c r="Z37" s="30">
        <f t="shared" si="10"/>
        <v>107029.25641177263</v>
      </c>
      <c r="AA37" s="30">
        <f t="shared" si="10"/>
        <v>123370.80823236125</v>
      </c>
      <c r="AB37" s="30">
        <f t="shared" si="10"/>
        <v>193948.89364397933</v>
      </c>
      <c r="AC37" s="30">
        <f t="shared" si="10"/>
        <v>157783.59532617827</v>
      </c>
      <c r="AD37" s="30">
        <f t="shared" si="10"/>
        <v>175922.89609248721</v>
      </c>
      <c r="AE37" s="30">
        <f t="shared" si="10"/>
        <v>248439.78589711155</v>
      </c>
      <c r="AF37" s="30">
        <f t="shared" si="10"/>
        <v>214353.52819196717</v>
      </c>
      <c r="AG37" s="30">
        <f t="shared" si="10"/>
        <v>234789.96560156549</v>
      </c>
      <c r="AH37" s="30">
        <f t="shared" ref="AH37:BI37" si="11">AH18-AH32</f>
        <v>309663.74488164374</v>
      </c>
      <c r="AI37" s="30">
        <f t="shared" si="11"/>
        <v>278229.341125726</v>
      </c>
      <c r="AJ37" s="30">
        <f t="shared" si="11"/>
        <v>301296.72118201223</v>
      </c>
      <c r="AK37" s="30">
        <f t="shared" si="11"/>
        <v>379094.36624111293</v>
      </c>
      <c r="AL37" s="30">
        <f t="shared" si="11"/>
        <v>237517.58855316858</v>
      </c>
      <c r="AM37" s="30">
        <f t="shared" si="11"/>
        <v>265128.61223082698</v>
      </c>
      <c r="AN37" s="30">
        <f t="shared" si="11"/>
        <v>361009.92309236829</v>
      </c>
      <c r="AO37" s="30">
        <f t="shared" si="11"/>
        <v>324026.18749698659</v>
      </c>
      <c r="AP37" s="30">
        <f t="shared" si="11"/>
        <v>355457.04512183601</v>
      </c>
      <c r="AQ37" s="30">
        <f t="shared" si="11"/>
        <v>455443.64562792779</v>
      </c>
      <c r="AR37" s="30">
        <f t="shared" si="11"/>
        <v>422927.90415932424</v>
      </c>
      <c r="AS37" s="30">
        <f t="shared" si="11"/>
        <v>459030.47561729047</v>
      </c>
      <c r="AT37" s="30">
        <f t="shared" si="11"/>
        <v>563812.16764815489</v>
      </c>
      <c r="AU37" s="30">
        <f t="shared" si="11"/>
        <v>536370.63228056254</v>
      </c>
      <c r="AV37" s="30">
        <f t="shared" si="11"/>
        <v>577903.45614459075</v>
      </c>
      <c r="AW37" s="30">
        <f t="shared" si="11"/>
        <v>688312.12920182035</v>
      </c>
      <c r="AX37" s="30">
        <f t="shared" si="11"/>
        <v>466120.99566191121</v>
      </c>
      <c r="AY37" s="30">
        <f t="shared" si="11"/>
        <v>514118.87450750696</v>
      </c>
      <c r="AZ37" s="30">
        <f t="shared" si="11"/>
        <v>644669.83579538215</v>
      </c>
      <c r="BA37" s="30">
        <f t="shared" si="11"/>
        <v>616885.4376476513</v>
      </c>
      <c r="BB37" s="30">
        <f t="shared" si="11"/>
        <v>672019.36009253364</v>
      </c>
      <c r="BC37" s="30">
        <f t="shared" si="11"/>
        <v>810434.7231596607</v>
      </c>
      <c r="BD37" s="30">
        <f t="shared" si="11"/>
        <v>790616.68288014352</v>
      </c>
      <c r="BE37" s="30">
        <f t="shared" si="11"/>
        <v>854203.74508665048</v>
      </c>
      <c r="BF37" s="30">
        <f t="shared" si="11"/>
        <v>1001337.9569034833</v>
      </c>
      <c r="BG37" s="30">
        <f t="shared" si="11"/>
        <v>990877.01581115718</v>
      </c>
      <c r="BH37" s="30">
        <f t="shared" si="11"/>
        <v>1064304.7761642153</v>
      </c>
      <c r="BI37" s="30">
        <f t="shared" si="11"/>
        <v>1221753.9130349262</v>
      </c>
    </row>
    <row r="38" spans="1:61" ht="15" customHeight="1" x14ac:dyDescent="0.35">
      <c r="A38" s="7" t="s">
        <v>303</v>
      </c>
      <c r="B38" s="9">
        <f>IF(B37&gt;0,B37*'Drivers &amp; Assumptions'!C61,0)</f>
        <v>0</v>
      </c>
      <c r="C38" s="9">
        <f>IF(C37&gt;0,C37*'Drivers &amp; Assumptions'!C61,0)</f>
        <v>2980.1049999999996</v>
      </c>
      <c r="D38" s="9">
        <f>IF(D37&gt;0,D37*'Drivers &amp; Assumptions'!C61,0)</f>
        <v>7444.1575000000012</v>
      </c>
      <c r="E38" s="9">
        <f>IF(E37&gt;0,E37*'Drivers &amp; Assumptions'!C61,0)</f>
        <v>58.772499999999127</v>
      </c>
      <c r="F38" s="9">
        <f>IF(F37&gt;0,F37*'Drivers &amp; Assumptions'!C61,0)</f>
        <v>2936.6575000000012</v>
      </c>
      <c r="G38" s="9">
        <f>IF(G37&gt;0,G37*'Drivers &amp; Assumptions'!C61,0)</f>
        <v>471.58749999999964</v>
      </c>
      <c r="H38" s="9">
        <f>IF(H37&gt;0,H37*'Drivers &amp; Assumptions'!C61,0)</f>
        <v>171.93249999999898</v>
      </c>
      <c r="I38" s="9">
        <f>IF(I37&gt;0,I37*'Drivers &amp; Assumptions'!C61,0)</f>
        <v>21822.384999999998</v>
      </c>
      <c r="J38" s="9">
        <f>IF(J37&gt;0,J37*'Drivers &amp; Assumptions'!C61,0)</f>
        <v>7304</v>
      </c>
      <c r="K38" s="9">
        <f>IF(K37&gt;0,K37*'Drivers &amp; Assumptions'!C61,0)</f>
        <v>0</v>
      </c>
      <c r="L38" s="9">
        <f>IF(L37&gt;0,L37*'Drivers &amp; Assumptions'!C61,0)</f>
        <v>0</v>
      </c>
      <c r="M38" s="9">
        <f>IF(M37&gt;0,M37*'Drivers &amp; Assumptions'!C61,0)</f>
        <v>6472.02</v>
      </c>
      <c r="N38" s="9">
        <f>IF(N37&gt;0,N37*'Drivers &amp; Assumptions'!C61,0)</f>
        <v>0</v>
      </c>
      <c r="O38" s="9">
        <f>IF(O37&gt;0,O37*'Drivers &amp; Assumptions'!C61,0)</f>
        <v>0</v>
      </c>
      <c r="P38" s="9">
        <f>IF(P37&gt;0,P37*'Drivers &amp; Assumptions'!C61,0)</f>
        <v>12707.572187499994</v>
      </c>
      <c r="Q38" s="9">
        <f>IF(Q37&gt;0,Q37*'Drivers &amp; Assumptions'!C61,0)</f>
        <v>6307.8617968749968</v>
      </c>
      <c r="R38" s="9">
        <f>IF(R37&gt;0,R37*'Drivers &amp; Assumptions'!C61,0)</f>
        <v>9928.5178867187533</v>
      </c>
      <c r="S38" s="9">
        <f>IF(S37&gt;0,S37*'Drivers &amp; Assumptions'!C61,0)</f>
        <v>23588.422781054684</v>
      </c>
      <c r="T38" s="9">
        <f>IF(T37&gt;0,T37*'Drivers &amp; Assumptions'!C61,0)</f>
        <v>17177.778920107419</v>
      </c>
      <c r="U38" s="9">
        <f>IF(U37&gt;0,U37*'Drivers &amp; Assumptions'!C61,0)</f>
        <v>20784.986866112791</v>
      </c>
      <c r="V38" s="9">
        <f>IF(V37&gt;0,V37*'Drivers &amp; Assumptions'!C61,0)</f>
        <v>34527.203209418432</v>
      </c>
      <c r="W38" s="9">
        <f>IF(W37&gt;0,W37*'Drivers &amp; Assumptions'!C61,0)</f>
        <v>28196.098369889347</v>
      </c>
      <c r="X38" s="9">
        <f>IF(X37&gt;0,X37*'Drivers &amp; Assumptions'!C61,0)</f>
        <v>31998.01428838382</v>
      </c>
      <c r="Y38" s="9">
        <f>IF(Y37&gt;0,Y37*'Drivers &amp; Assumptions'!C61,0)</f>
        <v>45951.56200280301</v>
      </c>
      <c r="Z38" s="9">
        <f>IF(Z37&gt;0,Z37*'Drivers &amp; Assumptions'!C61,0)</f>
        <v>26757.314102943157</v>
      </c>
      <c r="AA38" s="9">
        <f>IF(AA37&gt;0,AA37*'Drivers &amp; Assumptions'!C61,0)</f>
        <v>30842.702058090312</v>
      </c>
      <c r="AB38" s="9">
        <f>IF(AB37&gt;0,AB37*'Drivers &amp; Assumptions'!C61,0)</f>
        <v>48487.223410994833</v>
      </c>
      <c r="AC38" s="9">
        <f>IF(AC37&gt;0,AC37*'Drivers &amp; Assumptions'!C61,0)</f>
        <v>39445.898831544568</v>
      </c>
      <c r="AD38" s="9">
        <f>IF(AD37&gt;0,AD37*'Drivers &amp; Assumptions'!C61,0)</f>
        <v>43980.724023121802</v>
      </c>
      <c r="AE38" s="9">
        <f>IF(AE37&gt;0,AE37*'Drivers &amp; Assumptions'!C61,0)</f>
        <v>62109.946474277887</v>
      </c>
      <c r="AF38" s="9">
        <f>IF(AF37&gt;0,AF37*'Drivers &amp; Assumptions'!C61,0)</f>
        <v>53588.382047991792</v>
      </c>
      <c r="AG38" s="9">
        <f>IF(AG37&gt;0,AG37*'Drivers &amp; Assumptions'!C61,0)</f>
        <v>58697.491400391373</v>
      </c>
      <c r="AH38" s="9">
        <f>IF(AH37&gt;0,AH37*'Drivers &amp; Assumptions'!C61,0)</f>
        <v>77415.936220410935</v>
      </c>
      <c r="AI38" s="9">
        <f>IF(AI37&gt;0,AI37*'Drivers &amp; Assumptions'!C61,0)</f>
        <v>69557.3352814315</v>
      </c>
      <c r="AJ38" s="9">
        <f>IF(AJ37&gt;0,AJ37*'Drivers &amp; Assumptions'!C61,0)</f>
        <v>75324.180295503058</v>
      </c>
      <c r="AK38" s="9">
        <f>IF(AK37&gt;0,AK37*'Drivers &amp; Assumptions'!C61,0)</f>
        <v>94773.591560278233</v>
      </c>
      <c r="AL38" s="9">
        <f>IF(AL37&gt;0,AL37*'Drivers &amp; Assumptions'!C61,0)</f>
        <v>59379.397138292145</v>
      </c>
      <c r="AM38" s="9">
        <f>IF(AM37&gt;0,AM37*'Drivers &amp; Assumptions'!C61,0)</f>
        <v>66282.153057706746</v>
      </c>
      <c r="AN38" s="9">
        <f>IF(AN37&gt;0,AN37*'Drivers &amp; Assumptions'!C61,0)</f>
        <v>90252.480773092073</v>
      </c>
      <c r="AO38" s="9">
        <f>IF(AO37&gt;0,AO37*'Drivers &amp; Assumptions'!C61,0)</f>
        <v>81006.546874246647</v>
      </c>
      <c r="AP38" s="9">
        <f>IF(AP37&gt;0,AP37*'Drivers &amp; Assumptions'!C61,0)</f>
        <v>88864.261280459003</v>
      </c>
      <c r="AQ38" s="9">
        <f>IF(AQ37&gt;0,AQ37*'Drivers &amp; Assumptions'!C61,0)</f>
        <v>113860.91140698195</v>
      </c>
      <c r="AR38" s="9">
        <f>IF(AR37&gt;0,AR37*'Drivers &amp; Assumptions'!C61,0)</f>
        <v>105731.97603983106</v>
      </c>
      <c r="AS38" s="9">
        <f>IF(AS37&gt;0,AS37*'Drivers &amp; Assumptions'!C61,0)</f>
        <v>114757.61890432262</v>
      </c>
      <c r="AT38" s="9">
        <f>IF(AT37&gt;0,AT37*'Drivers &amp; Assumptions'!C61,0)</f>
        <v>140953.04191203872</v>
      </c>
      <c r="AU38" s="9">
        <f>IF(AU37&gt;0,AU37*'Drivers &amp; Assumptions'!C61,0)</f>
        <v>134092.65807014063</v>
      </c>
      <c r="AV38" s="9">
        <f>IF(AV37&gt;0,AV37*'Drivers &amp; Assumptions'!C61,0)</f>
        <v>144475.86403614769</v>
      </c>
      <c r="AW38" s="9">
        <f>IF(AW37&gt;0,AW37*'Drivers &amp; Assumptions'!C61,0)</f>
        <v>172078.03230045509</v>
      </c>
      <c r="AX38" s="9">
        <f>IF(AX37&gt;0,AX37*'Drivers &amp; Assumptions'!C61,0)</f>
        <v>116530.2489154778</v>
      </c>
      <c r="AY38" s="9">
        <f>IF(AY37&gt;0,AY37*'Drivers &amp; Assumptions'!C61,0)</f>
        <v>128529.71862687674</v>
      </c>
      <c r="AZ38" s="9">
        <f>IF(AZ37&gt;0,AZ37*'Drivers &amp; Assumptions'!C61,0)</f>
        <v>161167.45894884554</v>
      </c>
      <c r="BA38" s="9">
        <f>IF(BA37&gt;0,BA37*'Drivers &amp; Assumptions'!C61,0)</f>
        <v>154221.35941191282</v>
      </c>
      <c r="BB38" s="9">
        <f>IF(BB37&gt;0,BB37*'Drivers &amp; Assumptions'!C61,0)</f>
        <v>168004.84002313341</v>
      </c>
      <c r="BC38" s="9">
        <f>IF(BC37&gt;0,BC37*'Drivers &amp; Assumptions'!C61,0)</f>
        <v>202608.68078991518</v>
      </c>
      <c r="BD38" s="9">
        <f>IF(BD37&gt;0,BD37*'Drivers &amp; Assumptions'!C61,0)</f>
        <v>197654.17072003588</v>
      </c>
      <c r="BE38" s="9">
        <f>IF(BE37&gt;0,BE37*'Drivers &amp; Assumptions'!C61,0)</f>
        <v>213550.93627166262</v>
      </c>
      <c r="BF38" s="9">
        <f>IF(BF37&gt;0,BF37*'Drivers &amp; Assumptions'!C61,0)</f>
        <v>250334.48922587081</v>
      </c>
      <c r="BG38" s="9">
        <f>IF(BG37&gt;0,BG37*'Drivers &amp; Assumptions'!C61,0)</f>
        <v>247719.25395278929</v>
      </c>
      <c r="BH38" s="9">
        <f>IF(BH37&gt;0,BH37*'Drivers &amp; Assumptions'!C61,0)</f>
        <v>266076.19404105382</v>
      </c>
      <c r="BI38" s="9">
        <f>IF(BI37&gt;0,BI37*'Drivers &amp; Assumptions'!C61,0)</f>
        <v>305438.47825873154</v>
      </c>
    </row>
    <row r="40" spans="1:61" ht="15" customHeight="1" x14ac:dyDescent="0.35">
      <c r="A40" s="10" t="s">
        <v>35</v>
      </c>
      <c r="B40" s="14">
        <f t="shared" ref="B40:AG40" si="12">B37-B38</f>
        <v>-8409.619999999999</v>
      </c>
      <c r="C40" s="14">
        <f t="shared" si="12"/>
        <v>8940.3149999999987</v>
      </c>
      <c r="D40" s="14">
        <f t="shared" si="12"/>
        <v>22332.472500000003</v>
      </c>
      <c r="E40" s="14">
        <f t="shared" si="12"/>
        <v>176.31749999999738</v>
      </c>
      <c r="F40" s="14">
        <f t="shared" si="12"/>
        <v>8809.9725000000035</v>
      </c>
      <c r="G40" s="14">
        <f t="shared" si="12"/>
        <v>1414.7624999999989</v>
      </c>
      <c r="H40" s="14">
        <f t="shared" si="12"/>
        <v>515.79749999999694</v>
      </c>
      <c r="I40" s="14">
        <f t="shared" si="12"/>
        <v>65467.154999999999</v>
      </c>
      <c r="J40" s="14">
        <f t="shared" si="12"/>
        <v>21912</v>
      </c>
      <c r="K40" s="14">
        <f t="shared" si="12"/>
        <v>-42184.160000000003</v>
      </c>
      <c r="L40" s="14">
        <f t="shared" si="12"/>
        <v>-23664.160000000003</v>
      </c>
      <c r="M40" s="14">
        <f t="shared" si="12"/>
        <v>19416.060000000001</v>
      </c>
      <c r="N40" s="14">
        <f t="shared" si="12"/>
        <v>-19374.5</v>
      </c>
      <c r="O40" s="14">
        <f t="shared" si="12"/>
        <v>-4158.3649999999907</v>
      </c>
      <c r="P40" s="14">
        <f t="shared" si="12"/>
        <v>38122.716562499983</v>
      </c>
      <c r="Q40" s="14">
        <f t="shared" si="12"/>
        <v>18923.58539062499</v>
      </c>
      <c r="R40" s="14">
        <f t="shared" si="12"/>
        <v>29785.55366015626</v>
      </c>
      <c r="S40" s="14">
        <f t="shared" si="12"/>
        <v>70765.268343164047</v>
      </c>
      <c r="T40" s="14">
        <f t="shared" si="12"/>
        <v>51533.336760322258</v>
      </c>
      <c r="U40" s="14">
        <f t="shared" si="12"/>
        <v>62354.960598338374</v>
      </c>
      <c r="V40" s="14">
        <f t="shared" si="12"/>
        <v>103581.6096282553</v>
      </c>
      <c r="W40" s="14">
        <f t="shared" si="12"/>
        <v>84588.295109668048</v>
      </c>
      <c r="X40" s="14">
        <f t="shared" si="12"/>
        <v>95994.042865151452</v>
      </c>
      <c r="Y40" s="14">
        <f t="shared" si="12"/>
        <v>137854.68600840901</v>
      </c>
      <c r="Z40" s="14">
        <f t="shared" si="12"/>
        <v>80271.942308829472</v>
      </c>
      <c r="AA40" s="14">
        <f t="shared" si="12"/>
        <v>92528.106174270943</v>
      </c>
      <c r="AB40" s="14">
        <f t="shared" si="12"/>
        <v>145461.6702329845</v>
      </c>
      <c r="AC40" s="14">
        <f t="shared" si="12"/>
        <v>118337.69649463371</v>
      </c>
      <c r="AD40" s="14">
        <f t="shared" si="12"/>
        <v>131942.17206936539</v>
      </c>
      <c r="AE40" s="14">
        <f t="shared" si="12"/>
        <v>186329.83942283367</v>
      </c>
      <c r="AF40" s="14">
        <f t="shared" si="12"/>
        <v>160765.14614397538</v>
      </c>
      <c r="AG40" s="14">
        <f t="shared" si="12"/>
        <v>176092.4742011741</v>
      </c>
      <c r="AH40" s="14">
        <f t="shared" ref="AH40:BI40" si="13">AH37-AH38</f>
        <v>232247.80866123282</v>
      </c>
      <c r="AI40" s="14">
        <f t="shared" si="13"/>
        <v>208672.0058442945</v>
      </c>
      <c r="AJ40" s="14">
        <f t="shared" si="13"/>
        <v>225972.54088650917</v>
      </c>
      <c r="AK40" s="14">
        <f t="shared" si="13"/>
        <v>284320.77468083473</v>
      </c>
      <c r="AL40" s="14">
        <f t="shared" si="13"/>
        <v>178138.19141487643</v>
      </c>
      <c r="AM40" s="14">
        <f t="shared" si="13"/>
        <v>198846.45917312024</v>
      </c>
      <c r="AN40" s="14">
        <f t="shared" si="13"/>
        <v>270757.44231927622</v>
      </c>
      <c r="AO40" s="14">
        <f t="shared" si="13"/>
        <v>243019.64062273994</v>
      </c>
      <c r="AP40" s="14">
        <f t="shared" si="13"/>
        <v>266592.78384137701</v>
      </c>
      <c r="AQ40" s="14">
        <f t="shared" si="13"/>
        <v>341582.73422094586</v>
      </c>
      <c r="AR40" s="14">
        <f t="shared" si="13"/>
        <v>317195.92811949318</v>
      </c>
      <c r="AS40" s="14">
        <f t="shared" si="13"/>
        <v>344272.85671296786</v>
      </c>
      <c r="AT40" s="14">
        <f t="shared" si="13"/>
        <v>422859.1257361162</v>
      </c>
      <c r="AU40" s="14">
        <f t="shared" si="13"/>
        <v>402277.9742104219</v>
      </c>
      <c r="AV40" s="14">
        <f t="shared" si="13"/>
        <v>433427.59210844303</v>
      </c>
      <c r="AW40" s="14">
        <f t="shared" si="13"/>
        <v>516234.09690136526</v>
      </c>
      <c r="AX40" s="14">
        <f t="shared" si="13"/>
        <v>349590.74674643343</v>
      </c>
      <c r="AY40" s="14">
        <f t="shared" si="13"/>
        <v>385589.15588063025</v>
      </c>
      <c r="AZ40" s="14">
        <f t="shared" si="13"/>
        <v>483502.37684653664</v>
      </c>
      <c r="BA40" s="14">
        <f t="shared" si="13"/>
        <v>462664.07823573845</v>
      </c>
      <c r="BB40" s="14">
        <f t="shared" si="13"/>
        <v>504014.5200694002</v>
      </c>
      <c r="BC40" s="14">
        <f t="shared" si="13"/>
        <v>607826.04236974556</v>
      </c>
      <c r="BD40" s="14">
        <f t="shared" si="13"/>
        <v>592962.51216010761</v>
      </c>
      <c r="BE40" s="14">
        <f t="shared" si="13"/>
        <v>640652.80881498789</v>
      </c>
      <c r="BF40" s="14">
        <f t="shared" si="13"/>
        <v>751003.46767761244</v>
      </c>
      <c r="BG40" s="14">
        <f t="shared" si="13"/>
        <v>743157.76185836783</v>
      </c>
      <c r="BH40" s="14">
        <f t="shared" si="13"/>
        <v>798228.58212316153</v>
      </c>
      <c r="BI40" s="14">
        <f t="shared" si="13"/>
        <v>916315.43477619463</v>
      </c>
    </row>
    <row r="41" spans="1:61" ht="15" customHeight="1" x14ac:dyDescent="0.35">
      <c r="A41" s="16" t="s">
        <v>36</v>
      </c>
      <c r="B41" s="15">
        <f t="shared" ref="B41:AG41" si="14">IF(B10=0,0,B40/B10)</f>
        <v>-0.17597765129321166</v>
      </c>
      <c r="C41" s="15">
        <f t="shared" si="14"/>
        <v>0.11344569644828503</v>
      </c>
      <c r="D41" s="15">
        <f t="shared" si="14"/>
        <v>0.20202155230901447</v>
      </c>
      <c r="E41" s="15">
        <f t="shared" si="14"/>
        <v>2.8168884699566626E-3</v>
      </c>
      <c r="F41" s="15">
        <f t="shared" si="14"/>
        <v>0.10982538208382163</v>
      </c>
      <c r="G41" s="15">
        <f t="shared" si="14"/>
        <v>2.1601736063396073E-2</v>
      </c>
      <c r="H41" s="15">
        <f t="shared" si="14"/>
        <v>8.0646283498545437E-3</v>
      </c>
      <c r="I41" s="15">
        <f t="shared" si="14"/>
        <v>0.32840143766522367</v>
      </c>
      <c r="J41" s="15">
        <f t="shared" si="14"/>
        <v>0.22978187919463086</v>
      </c>
      <c r="K41" s="15">
        <f t="shared" si="14"/>
        <v>-0.96482686061936795</v>
      </c>
      <c r="L41" s="15">
        <f t="shared" si="14"/>
        <v>-0.26012575297893864</v>
      </c>
      <c r="M41" s="15">
        <f t="shared" si="14"/>
        <v>0.11862641592433741</v>
      </c>
      <c r="N41" s="15">
        <f t="shared" si="14"/>
        <v>-0.13370945479641133</v>
      </c>
      <c r="O41" s="15">
        <f t="shared" si="14"/>
        <v>-2.4302574981882732E-2</v>
      </c>
      <c r="P41" s="15">
        <f t="shared" si="14"/>
        <v>0.1518119631507896</v>
      </c>
      <c r="Q41" s="15">
        <f t="shared" si="14"/>
        <v>8.5188420669246104E-2</v>
      </c>
      <c r="R41" s="15">
        <f t="shared" si="14"/>
        <v>0.12036317872561771</v>
      </c>
      <c r="S41" s="15">
        <f t="shared" si="14"/>
        <v>0.21626072923936668</v>
      </c>
      <c r="T41" s="15">
        <f t="shared" si="14"/>
        <v>0.17264446441242456</v>
      </c>
      <c r="U41" s="15">
        <f t="shared" si="14"/>
        <v>0.19241082413271857</v>
      </c>
      <c r="V41" s="15">
        <f t="shared" si="14"/>
        <v>0.25593906192120647</v>
      </c>
      <c r="W41" s="15">
        <f t="shared" si="14"/>
        <v>0.22445191423388697</v>
      </c>
      <c r="X41" s="15">
        <f t="shared" si="14"/>
        <v>0.23756079920697148</v>
      </c>
      <c r="Y41" s="15">
        <f t="shared" si="14"/>
        <v>0.28336824905220093</v>
      </c>
      <c r="Z41" s="15">
        <f t="shared" si="14"/>
        <v>0.17425571860309966</v>
      </c>
      <c r="AA41" s="15">
        <f t="shared" si="14"/>
        <v>0.1887789329054371</v>
      </c>
      <c r="AB41" s="15">
        <f t="shared" si="14"/>
        <v>0.24515984290970094</v>
      </c>
      <c r="AC41" s="15">
        <f t="shared" si="14"/>
        <v>0.21423085479418974</v>
      </c>
      <c r="AD41" s="15">
        <f t="shared" si="14"/>
        <v>0.22543812611164998</v>
      </c>
      <c r="AE41" s="15">
        <f t="shared" si="14"/>
        <v>0.26921686681004348</v>
      </c>
      <c r="AF41" s="15">
        <f t="shared" si="14"/>
        <v>0.24541524490969779</v>
      </c>
      <c r="AG41" s="15">
        <f t="shared" si="14"/>
        <v>0.25437919895466643</v>
      </c>
      <c r="AH41" s="15">
        <f t="shared" ref="AH41:BI41" si="15">IF(AH10=0,0,AH40/AH10)</f>
        <v>0.28904446866496014</v>
      </c>
      <c r="AI41" s="15">
        <f t="shared" si="15"/>
        <v>0.27052058649302085</v>
      </c>
      <c r="AJ41" s="15">
        <f t="shared" si="15"/>
        <v>0.2777931945753786</v>
      </c>
      <c r="AK41" s="15">
        <f t="shared" si="15"/>
        <v>0.3056778765603535</v>
      </c>
      <c r="AL41" s="15">
        <f t="shared" si="15"/>
        <v>0.19581650553453417</v>
      </c>
      <c r="AM41" s="15">
        <f t="shared" si="15"/>
        <v>0.20721461415099399</v>
      </c>
      <c r="AN41" s="15">
        <f t="shared" si="15"/>
        <v>0.24558498169548865</v>
      </c>
      <c r="AO41" s="15">
        <f t="shared" si="15"/>
        <v>0.22792806742255756</v>
      </c>
      <c r="AP41" s="15">
        <f t="shared" si="15"/>
        <v>0.23735873286659562</v>
      </c>
      <c r="AQ41" s="15">
        <f t="shared" si="15"/>
        <v>0.26820083905012049</v>
      </c>
      <c r="AR41" s="15">
        <f t="shared" si="15"/>
        <v>0.25467152260479098</v>
      </c>
      <c r="AS41" s="15">
        <f t="shared" si="15"/>
        <v>0.26259723783053618</v>
      </c>
      <c r="AT41" s="15">
        <f t="shared" si="15"/>
        <v>0.28760174885847062</v>
      </c>
      <c r="AU41" s="15">
        <f t="shared" si="15"/>
        <v>0.27714256380237401</v>
      </c>
      <c r="AV41" s="15">
        <f t="shared" si="15"/>
        <v>0.28384367725638937</v>
      </c>
      <c r="AW41" s="15">
        <f t="shared" si="15"/>
        <v>0.30427746061297384</v>
      </c>
      <c r="AX41" s="15">
        <f t="shared" si="15"/>
        <v>0.20665348846140363</v>
      </c>
      <c r="AY41" s="15">
        <f t="shared" si="15"/>
        <v>0.21675329502978488</v>
      </c>
      <c r="AZ41" s="15">
        <f t="shared" si="15"/>
        <v>0.24432194391716472</v>
      </c>
      <c r="BA41" s="15">
        <f t="shared" si="15"/>
        <v>0.23534286997949477</v>
      </c>
      <c r="BB41" s="15">
        <f t="shared" si="15"/>
        <v>0.24392433920641707</v>
      </c>
      <c r="BC41" s="15">
        <f t="shared" si="15"/>
        <v>0.26651287032312337</v>
      </c>
      <c r="BD41" s="15">
        <f t="shared" si="15"/>
        <v>0.25981624710486267</v>
      </c>
      <c r="BE41" s="15">
        <f t="shared" si="15"/>
        <v>0.26715072122455025</v>
      </c>
      <c r="BF41" s="15">
        <f t="shared" si="15"/>
        <v>0.28571712677092914</v>
      </c>
      <c r="BG41" s="15">
        <f t="shared" si="15"/>
        <v>0.28073383350705211</v>
      </c>
      <c r="BH41" s="15">
        <f t="shared" si="15"/>
        <v>0.28702190454729742</v>
      </c>
      <c r="BI41" s="15">
        <f t="shared" si="15"/>
        <v>0.30237810941335891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030A0"/>
  </sheetPr>
  <dimension ref="A1:BI29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9" sqref="B9"/>
    </sheetView>
  </sheetViews>
  <sheetFormatPr defaultColWidth="8.6328125" defaultRowHeight="14.5" x14ac:dyDescent="0.35"/>
  <cols>
    <col min="1" max="1" width="42" customWidth="1"/>
    <col min="2" max="61" width="14" customWidth="1"/>
  </cols>
  <sheetData>
    <row r="1" spans="1:61" ht="17.25" customHeight="1" x14ac:dyDescent="0.4">
      <c r="A1" s="1" t="s">
        <v>304</v>
      </c>
    </row>
    <row r="2" spans="1:61" ht="15" customHeight="1" x14ac:dyDescent="0.35">
      <c r="A2" s="2" t="s">
        <v>305</v>
      </c>
    </row>
    <row r="4" spans="1:61" ht="15" customHeight="1" x14ac:dyDescent="0.35">
      <c r="A4" s="19"/>
      <c r="B4" s="25" t="s">
        <v>147</v>
      </c>
      <c r="C4" s="25" t="s">
        <v>148</v>
      </c>
      <c r="D4" s="25" t="s">
        <v>149</v>
      </c>
      <c r="E4" s="25" t="s">
        <v>150</v>
      </c>
      <c r="F4" s="25" t="s">
        <v>151</v>
      </c>
      <c r="G4" s="25" t="s">
        <v>152</v>
      </c>
      <c r="H4" s="25" t="s">
        <v>153</v>
      </c>
      <c r="I4" s="25" t="s">
        <v>154</v>
      </c>
      <c r="J4" s="19" t="s">
        <v>155</v>
      </c>
      <c r="K4" s="19" t="s">
        <v>156</v>
      </c>
      <c r="L4" s="19" t="s">
        <v>157</v>
      </c>
      <c r="M4" s="19" t="s">
        <v>158</v>
      </c>
      <c r="N4" s="19" t="s">
        <v>159</v>
      </c>
      <c r="O4" s="19" t="s">
        <v>160</v>
      </c>
      <c r="P4" s="19" t="s">
        <v>161</v>
      </c>
      <c r="Q4" s="19" t="s">
        <v>162</v>
      </c>
      <c r="R4" s="19" t="s">
        <v>163</v>
      </c>
      <c r="S4" s="19" t="s">
        <v>164</v>
      </c>
      <c r="T4" s="19" t="s">
        <v>165</v>
      </c>
      <c r="U4" s="19" t="s">
        <v>166</v>
      </c>
      <c r="V4" s="19" t="s">
        <v>167</v>
      </c>
      <c r="W4" s="19" t="s">
        <v>168</v>
      </c>
      <c r="X4" s="19" t="s">
        <v>169</v>
      </c>
      <c r="Y4" s="19" t="s">
        <v>170</v>
      </c>
      <c r="Z4" s="19" t="s">
        <v>171</v>
      </c>
      <c r="AA4" s="19" t="s">
        <v>172</v>
      </c>
      <c r="AB4" s="19" t="s">
        <v>173</v>
      </c>
      <c r="AC4" s="19" t="s">
        <v>174</v>
      </c>
      <c r="AD4" s="19" t="s">
        <v>175</v>
      </c>
      <c r="AE4" s="19" t="s">
        <v>176</v>
      </c>
      <c r="AF4" s="19" t="s">
        <v>177</v>
      </c>
      <c r="AG4" s="19" t="s">
        <v>178</v>
      </c>
      <c r="AH4" s="19" t="s">
        <v>179</v>
      </c>
      <c r="AI4" s="19" t="s">
        <v>180</v>
      </c>
      <c r="AJ4" s="19" t="s">
        <v>181</v>
      </c>
      <c r="AK4" s="19" t="s">
        <v>182</v>
      </c>
      <c r="AL4" s="19" t="s">
        <v>183</v>
      </c>
      <c r="AM4" s="19" t="s">
        <v>184</v>
      </c>
      <c r="AN4" s="19" t="s">
        <v>185</v>
      </c>
      <c r="AO4" s="19" t="s">
        <v>186</v>
      </c>
      <c r="AP4" s="19" t="s">
        <v>187</v>
      </c>
      <c r="AQ4" s="19" t="s">
        <v>188</v>
      </c>
      <c r="AR4" s="19" t="s">
        <v>189</v>
      </c>
      <c r="AS4" s="19" t="s">
        <v>190</v>
      </c>
      <c r="AT4" s="19" t="s">
        <v>191</v>
      </c>
      <c r="AU4" s="19" t="s">
        <v>192</v>
      </c>
      <c r="AV4" s="19" t="s">
        <v>193</v>
      </c>
      <c r="AW4" s="19" t="s">
        <v>194</v>
      </c>
      <c r="AX4" s="19" t="s">
        <v>195</v>
      </c>
      <c r="AY4" s="19" t="s">
        <v>196</v>
      </c>
      <c r="AZ4" s="19" t="s">
        <v>197</v>
      </c>
      <c r="BA4" s="19" t="s">
        <v>198</v>
      </c>
      <c r="BB4" s="19" t="s">
        <v>199</v>
      </c>
      <c r="BC4" s="19" t="s">
        <v>200</v>
      </c>
      <c r="BD4" s="19" t="s">
        <v>201</v>
      </c>
      <c r="BE4" s="19" t="s">
        <v>202</v>
      </c>
      <c r="BF4" s="19" t="s">
        <v>203</v>
      </c>
      <c r="BG4" s="19" t="s">
        <v>204</v>
      </c>
      <c r="BH4" s="19" t="s">
        <v>205</v>
      </c>
      <c r="BI4" s="19" t="s">
        <v>206</v>
      </c>
    </row>
    <row r="6" spans="1:61" ht="15" customHeight="1" x14ac:dyDescent="0.35">
      <c r="A6" s="5" t="s">
        <v>306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</row>
    <row r="7" spans="1:61" ht="15" customHeight="1" x14ac:dyDescent="0.35">
      <c r="A7" s="10" t="s">
        <v>307</v>
      </c>
      <c r="B7" s="37">
        <f>'Cash Flow'!B30</f>
        <v>45231.98000000001</v>
      </c>
      <c r="C7" s="37">
        <f>'Cash Flow'!C30</f>
        <v>25667.450000000012</v>
      </c>
      <c r="D7" s="37">
        <f>'Cash Flow'!D30</f>
        <v>43645.175000000017</v>
      </c>
      <c r="E7" s="37">
        <f>'Cash Flow'!E30</f>
        <v>68814.30750000001</v>
      </c>
      <c r="F7" s="37">
        <f>'Cash Flow'!F30</f>
        <v>62790.715000000018</v>
      </c>
      <c r="G7" s="37">
        <f>'Cash Flow'!G30</f>
        <v>77605.057500000024</v>
      </c>
      <c r="H7" s="37">
        <f>'Cash Flow'!H30</f>
        <v>80384.550000000017</v>
      </c>
      <c r="I7" s="37">
        <f>'Cash Flow'!I30</f>
        <v>48796.607500000027</v>
      </c>
      <c r="J7" s="37">
        <f>'Cash Flow'!J30</f>
        <v>103387.17250000003</v>
      </c>
      <c r="K7" s="37">
        <f>'Cash Flow'!K30</f>
        <v>140975.31250000003</v>
      </c>
      <c r="L7" s="37">
        <f>'Cash Flow'!L30</f>
        <v>81148.652500000026</v>
      </c>
      <c r="M7" s="37">
        <f>'Cash Flow'!M30</f>
        <v>7020.0325000000303</v>
      </c>
      <c r="N7" s="37">
        <f>'Cash Flow'!N30</f>
        <v>39487.412500000035</v>
      </c>
      <c r="O7" s="37">
        <f>'Cash Flow'!O30</f>
        <v>15048.247500000045</v>
      </c>
      <c r="P7" s="37">
        <f>'Cash Flow'!P30</f>
        <v>-48582.763749999969</v>
      </c>
      <c r="Q7" s="37">
        <f>'Cash Flow'!Q30</f>
        <v>38886.911250000019</v>
      </c>
      <c r="R7" s="37">
        <f>'Cash Flow'!R30</f>
        <v>52678.021000000037</v>
      </c>
      <c r="S7" s="37">
        <f>'Cash Flow'!S30</f>
        <v>22832.094237500001</v>
      </c>
      <c r="T7" s="37">
        <f>'Cash Flow'!T30</f>
        <v>142710.38713687501</v>
      </c>
      <c r="U7" s="37">
        <f>'Cash Flow'!U30</f>
        <v>188867.25568121875</v>
      </c>
      <c r="V7" s="37">
        <f>'Cash Flow'!V30</f>
        <v>191254.28165277973</v>
      </c>
      <c r="W7" s="37">
        <f>'Cash Flow'!W30</f>
        <v>343601.37192291871</v>
      </c>
      <c r="X7" s="37">
        <f>'Cash Flow'!X30</f>
        <v>422355.73070656462</v>
      </c>
      <c r="Y7" s="37">
        <f>'Cash Flow'!Y30</f>
        <v>457895.76442939282</v>
      </c>
      <c r="Z7" s="37">
        <f>'Cash Flow'!Z30</f>
        <v>591541.75883836241</v>
      </c>
      <c r="AA7" s="37">
        <f>'Cash Flow'!AA30</f>
        <v>665401.85296778055</v>
      </c>
      <c r="AB7" s="37">
        <f>'Cash Flow'!AB30</f>
        <v>678690.74455366959</v>
      </c>
      <c r="AC7" s="37">
        <f>'Cash Flow'!AC30</f>
        <v>889825.01646885299</v>
      </c>
      <c r="AD7" s="37">
        <f>'Cash Flow'!AD30</f>
        <v>1000980.9137297956</v>
      </c>
      <c r="AE7" s="37">
        <f>'Cash Flow'!AE30</f>
        <v>1052864.7756037854</v>
      </c>
      <c r="AF7" s="37">
        <f>'Cash Flow'!AF30</f>
        <v>1303998.1573214747</v>
      </c>
      <c r="AG7" s="37">
        <f>'Cash Flow'!AG30</f>
        <v>1456645.2408750486</v>
      </c>
      <c r="AH7" s="37">
        <f>'Cash Flow'!AH30</f>
        <v>1551707.794356301</v>
      </c>
      <c r="AI7" s="37">
        <f>'Cash Flow'!AI30</f>
        <v>1847702.0992616159</v>
      </c>
      <c r="AJ7" s="37">
        <f>'Cash Flow'!AJ30</f>
        <v>2047178.0851621965</v>
      </c>
      <c r="AK7" s="37">
        <f>'Cash Flow'!AK30</f>
        <v>2190955.2711078064</v>
      </c>
      <c r="AL7" s="37">
        <f>'Cash Flow'!AL30</f>
        <v>2411076.6681006965</v>
      </c>
      <c r="AM7" s="37">
        <f>'Cash Flow'!AM30</f>
        <v>2576423.4831932313</v>
      </c>
      <c r="AN7" s="37">
        <f>'Cash Flow'!AN30</f>
        <v>2671277.0532278931</v>
      </c>
      <c r="AO7" s="37">
        <f>'Cash Flow'!AO30</f>
        <v>3018990.7599517875</v>
      </c>
      <c r="AP7" s="37">
        <f>'Cash Flow'!AP30</f>
        <v>3247713.258199377</v>
      </c>
      <c r="AQ7" s="37">
        <f>'Cash Flow'!AQ30</f>
        <v>3408712.4425468459</v>
      </c>
      <c r="AR7" s="37">
        <f>'Cash Flow'!AR30</f>
        <v>3825537.9352991884</v>
      </c>
      <c r="AS7" s="37">
        <f>'Cash Flow'!AS30</f>
        <v>4126641.634876648</v>
      </c>
      <c r="AT7" s="37">
        <f>'Cash Flow'!AT30</f>
        <v>4363458.9836204806</v>
      </c>
      <c r="AU7" s="37">
        <f>'Cash Flow'!AU30</f>
        <v>4859597.6739890045</v>
      </c>
      <c r="AV7" s="37">
        <f>'Cash Flow'!AV30</f>
        <v>5243700.7720634546</v>
      </c>
      <c r="AW7" s="37">
        <f>'Cash Flow'!AW30</f>
        <v>5567501.6372291269</v>
      </c>
      <c r="AX7" s="37">
        <f>'Cash Flow'!AX30</f>
        <v>5947319.1005905829</v>
      </c>
      <c r="AY7" s="37">
        <f>'Cash Flow'!AY30</f>
        <v>6276031.5761826122</v>
      </c>
      <c r="AZ7" s="37">
        <f>'Cash Flow'!AZ30</f>
        <v>6531035.4433511179</v>
      </c>
      <c r="BA7" s="37">
        <f>'Cash Flow'!BA30</f>
        <v>7100722.4720499236</v>
      </c>
      <c r="BB7" s="37">
        <f>'Cash Flow'!BB30</f>
        <v>7539747.9227305446</v>
      </c>
      <c r="BC7" s="37">
        <f>'Cash Flow'!BC30</f>
        <v>7910200.1558670718</v>
      </c>
      <c r="BD7" s="37">
        <f>'Cash Flow'!BD30</f>
        <v>8601145.6079572998</v>
      </c>
      <c r="BE7" s="37">
        <f>'Cash Flow'!BE30</f>
        <v>9167231.3323239144</v>
      </c>
      <c r="BF7" s="37">
        <f>'Cash Flow'!BF30</f>
        <v>9670957.0029557347</v>
      </c>
      <c r="BG7" s="37">
        <f>'Cash Flow'!BG30</f>
        <v>10501503.379541021</v>
      </c>
      <c r="BH7" s="37">
        <f>'Cash Flow'!BH30</f>
        <v>11214025.751752447</v>
      </c>
      <c r="BI7" s="37">
        <f>'Cash Flow'!BI30</f>
        <v>11871383.12074632</v>
      </c>
    </row>
    <row r="8" spans="1:61" ht="15" customHeight="1" x14ac:dyDescent="0.35">
      <c r="A8" s="7" t="s">
        <v>308</v>
      </c>
      <c r="B8" s="9">
        <f>'P&amp;L'!B10*'Revenue Consolidation'!B34/30</f>
        <v>13629.399999999998</v>
      </c>
      <c r="C8" s="9">
        <f>'P&amp;L'!C10*'Revenue Consolidation'!C34/30</f>
        <v>23582.1</v>
      </c>
      <c r="D8" s="9">
        <f>'P&amp;L'!D10*'Revenue Consolidation'!D34/30</f>
        <v>12621.4</v>
      </c>
      <c r="E8" s="9">
        <f>'P&amp;L'!E10*'Revenue Consolidation'!E34/30</f>
        <v>10823.2</v>
      </c>
      <c r="F8" s="9">
        <f>'P&amp;L'!F10*'Revenue Consolidation'!F34/30</f>
        <v>16111.9</v>
      </c>
      <c r="G8" s="9">
        <f>'P&amp;L'!G10*'Revenue Consolidation'!G34/30</f>
        <v>9891</v>
      </c>
      <c r="H8" s="9">
        <f>'P&amp;L'!H10*'Revenue Consolidation'!H34/30</f>
        <v>8014.9</v>
      </c>
      <c r="I8" s="9">
        <f>'P&amp;L'!I10*'Revenue Consolidation'!I34/30</f>
        <v>36039.699999999997</v>
      </c>
      <c r="J8" s="9">
        <f>'P&amp;L'!J10*'Revenue Consolidation'!J34/30</f>
        <v>50360</v>
      </c>
      <c r="K8" s="9">
        <f>'P&amp;L'!K10*'Revenue Consolidation'!K34/30</f>
        <v>4372.2</v>
      </c>
      <c r="L8" s="9">
        <f>'P&amp;L'!L10*'Revenue Consolidation'!L34/30</f>
        <v>9097.2000000000007</v>
      </c>
      <c r="M8" s="9">
        <f>'P&amp;L'!M10*'Revenue Consolidation'!M34/30</f>
        <v>57191.4</v>
      </c>
      <c r="N8" s="9">
        <f>'P&amp;L'!N10*'Revenue Consolidation'!N34/30</f>
        <v>14490</v>
      </c>
      <c r="O8" s="9">
        <f>'P&amp;L'!O10*'Revenue Consolidation'!O34/30</f>
        <v>17110.8</v>
      </c>
      <c r="P8" s="9">
        <f>'P&amp;L'!P10*'Revenue Consolidation'!P34/30</f>
        <v>74100.600000000006</v>
      </c>
      <c r="Q8" s="9">
        <f>'P&amp;L'!Q10*'Revenue Consolidation'!Q34/30</f>
        <v>22213.8</v>
      </c>
      <c r="R8" s="9">
        <f>'P&amp;L'!R10*'Revenue Consolidation'!R34/30</f>
        <v>24746.400000000001</v>
      </c>
      <c r="S8" s="9">
        <f>'P&amp;L'!S10*'Revenue Consolidation'!S34/30</f>
        <v>81711</v>
      </c>
      <c r="T8" s="9">
        <f>'P&amp;L'!T10*'Revenue Consolidation'!T34/30</f>
        <v>29849.4</v>
      </c>
      <c r="U8" s="9">
        <f>'P&amp;L'!U10*'Revenue Consolidation'!U34/30</f>
        <v>32407.200000000001</v>
      </c>
      <c r="V8" s="9">
        <f>'P&amp;L'!V10*'Revenue Consolidation'!V34/30</f>
        <v>89460</v>
      </c>
      <c r="W8" s="9">
        <f>'P&amp;L'!W10*'Revenue Consolidation'!W34/30</f>
        <v>37686.6</v>
      </c>
      <c r="X8" s="9">
        <f>'P&amp;L'!X10*'Revenue Consolidation'!X34/30</f>
        <v>40408.199999999997</v>
      </c>
      <c r="Y8" s="9">
        <f>'P&amp;L'!Y10*'Revenue Consolidation'!Y34/30</f>
        <v>97637.4</v>
      </c>
      <c r="Z8" s="9">
        <f>'P&amp;L'!Z10*'Revenue Consolidation'!Z34/30</f>
        <v>46065.599999999999</v>
      </c>
      <c r="AA8" s="9">
        <f>'P&amp;L'!AA10*'Revenue Consolidation'!AA34/30</f>
        <v>49014</v>
      </c>
      <c r="AB8" s="9">
        <f>'P&amp;L'!AB10*'Revenue Consolidation'!AB34/30</f>
        <v>124651.79999999999</v>
      </c>
      <c r="AC8" s="9">
        <f>'P&amp;L'!AC10*'Revenue Consolidation'!AC34/30</f>
        <v>55238.400000000001</v>
      </c>
      <c r="AD8" s="9">
        <f>'P&amp;L'!AD10*'Revenue Consolidation'!AD34/30</f>
        <v>58527</v>
      </c>
      <c r="AE8" s="9">
        <f>'P&amp;L'!AE10*'Revenue Consolidation'!AE34/30</f>
        <v>134530.20000000001</v>
      </c>
      <c r="AF8" s="9">
        <f>'P&amp;L'!AF10*'Revenue Consolidation'!AF34/30</f>
        <v>65507.4</v>
      </c>
      <c r="AG8" s="9">
        <f>'P&amp;L'!AG10*'Revenue Consolidation'!AG34/30</f>
        <v>69224.399999999994</v>
      </c>
      <c r="AH8" s="9">
        <f>'P&amp;L'!AH10*'Revenue Consolidation'!AH34/30</f>
        <v>145668.6</v>
      </c>
      <c r="AI8" s="9">
        <f>'P&amp;L'!AI10*'Revenue Consolidation'!AI34/30</f>
        <v>77137.2</v>
      </c>
      <c r="AJ8" s="9">
        <f>'P&amp;L'!AJ10*'Revenue Consolidation'!AJ34/30</f>
        <v>81345.600000000006</v>
      </c>
      <c r="AK8" s="9">
        <f>'P&amp;L'!AK10*'Revenue Consolidation'!AK34/30</f>
        <v>158331.6</v>
      </c>
      <c r="AL8" s="9">
        <f>'P&amp;L'!AL10*'Revenue Consolidation'!AL34/30</f>
        <v>99439.2</v>
      </c>
      <c r="AM8" s="9">
        <f>'P&amp;L'!AM10*'Revenue Consolidation'!AM34/30</f>
        <v>106545.60000000001</v>
      </c>
      <c r="AN8" s="9">
        <f>'P&amp;L'!AN10*'Revenue Consolidation'!AN34/30</f>
        <v>204598.8</v>
      </c>
      <c r="AO8" s="9">
        <f>'P&amp;L'!AO10*'Revenue Consolidation'!AO34/30</f>
        <v>121438.8</v>
      </c>
      <c r="AP8" s="9">
        <f>'P&amp;L'!AP10*'Revenue Consolidation'!AP34/30</f>
        <v>129250.8</v>
      </c>
      <c r="AQ8" s="9">
        <f>'P&amp;L'!AQ10*'Revenue Consolidation'!AQ34/30</f>
        <v>228060</v>
      </c>
      <c r="AR8" s="9">
        <f>'P&amp;L'!AR10*'Revenue Consolidation'!AR34/30</f>
        <v>145719</v>
      </c>
      <c r="AS8" s="9">
        <f>'P&amp;L'!AS10*'Revenue Consolidation'!AS34/30</f>
        <v>154387.79999999999</v>
      </c>
      <c r="AT8" s="9">
        <f>'P&amp;L'!AT10*'Revenue Consolidation'!AT34/30</f>
        <v>254079</v>
      </c>
      <c r="AU8" s="9">
        <f>'P&amp;L'!AU10*'Revenue Consolidation'!AU34/30</f>
        <v>172670.4</v>
      </c>
      <c r="AV8" s="9">
        <f>'P&amp;L'!AV10*'Revenue Consolidation'!AV34/30</f>
        <v>182334.6</v>
      </c>
      <c r="AW8" s="9">
        <f>'P&amp;L'!AW10*'Revenue Consolidation'!AW34/30</f>
        <v>283059</v>
      </c>
      <c r="AX8" s="9">
        <f>'P&amp;L'!AX10*'Revenue Consolidation'!AX34/30</f>
        <v>207270</v>
      </c>
      <c r="AY8" s="9">
        <f>'P&amp;L'!AY10*'Revenue Consolidation'!AY34/30</f>
        <v>218376.9</v>
      </c>
      <c r="AZ8" s="9">
        <f>'P&amp;L'!AZ10*'Revenue Consolidation'!AZ34/30</f>
        <v>338738.4</v>
      </c>
      <c r="BA8" s="9">
        <f>'P&amp;L'!BA10*'Revenue Consolidation'!BA34/30</f>
        <v>241838.1</v>
      </c>
      <c r="BB8" s="9">
        <f>'P&amp;L'!BB10*'Revenue Consolidation'!BB34/30</f>
        <v>254255.4</v>
      </c>
      <c r="BC8" s="9">
        <f>'P&amp;L'!BC10*'Revenue Consolidation'!BC34/30</f>
        <v>376053.3</v>
      </c>
      <c r="BD8" s="9">
        <f>'P&amp;L'!BD10*'Revenue Consolidation'!BD34/30</f>
        <v>280614.59999999998</v>
      </c>
      <c r="BE8" s="9">
        <f>'P&amp;L'!BE10*'Revenue Consolidation'!BE34/30</f>
        <v>294581.7</v>
      </c>
      <c r="BF8" s="9">
        <f>'P&amp;L'!BF10*'Revenue Consolidation'!BF34/30</f>
        <v>417979.8</v>
      </c>
      <c r="BG8" s="9">
        <f>'P&amp;L'!BG10*'Revenue Consolidation'!BG34/30</f>
        <v>324254.7</v>
      </c>
      <c r="BH8" s="9">
        <f>'P&amp;L'!BH10*'Revenue Consolidation'!BH34/30</f>
        <v>340023.6</v>
      </c>
      <c r="BI8" s="9">
        <f>'P&amp;L'!BI10*'Revenue Consolidation'!BI34/30</f>
        <v>465311.7</v>
      </c>
    </row>
    <row r="9" spans="1:61" ht="15" customHeight="1" x14ac:dyDescent="0.35">
      <c r="A9" s="7" t="s">
        <v>309</v>
      </c>
      <c r="B9" s="9">
        <f>'P&amp;L'!B13*'Drivers &amp; Assumptions'!C59/30</f>
        <v>47788</v>
      </c>
      <c r="C9" s="9">
        <f>'P&amp;L'!C13*'Drivers &amp; Assumptions'!C59/30</f>
        <v>78807</v>
      </c>
      <c r="D9" s="9">
        <f>'P&amp;L'!D13*'Drivers &amp; Assumptions'!C59/30</f>
        <v>110545</v>
      </c>
      <c r="E9" s="9">
        <f>'P&amp;L'!E13*'Drivers &amp; Assumptions'!C59/30</f>
        <v>62593</v>
      </c>
      <c r="F9" s="9">
        <f>'P&amp;L'!F13*'Drivers &amp; Assumptions'!C59/30</f>
        <v>80218</v>
      </c>
      <c r="G9" s="9">
        <f>'P&amp;L'!G13*'Drivers &amp; Assumptions'!C59/30</f>
        <v>65493</v>
      </c>
      <c r="H9" s="9">
        <f>'P&amp;L'!H13*'Drivers &amp; Assumptions'!C59/30</f>
        <v>63958</v>
      </c>
      <c r="I9" s="9">
        <f>'P&amp;L'!I13*'Drivers &amp; Assumptions'!C59/30</f>
        <v>199351</v>
      </c>
      <c r="J9" s="9">
        <f>'P&amp;L'!J13*'Drivers &amp; Assumptions'!C59/30</f>
        <v>95360</v>
      </c>
      <c r="K9" s="9">
        <f>'P&amp;L'!K13*'Drivers &amp; Assumptions'!C59/30</f>
        <v>43722</v>
      </c>
      <c r="L9" s="9">
        <f>'P&amp;L'!L13*'Drivers &amp; Assumptions'!C59/30</f>
        <v>90972</v>
      </c>
      <c r="M9" s="9">
        <f>'P&amp;L'!M13*'Drivers &amp; Assumptions'!C59/30</f>
        <v>163674</v>
      </c>
      <c r="N9" s="9">
        <f>'P&amp;L'!N13*'Drivers &amp; Assumptions'!C59/30</f>
        <v>144900</v>
      </c>
      <c r="O9" s="9">
        <f>'P&amp;L'!O13*'Drivers &amp; Assumptions'!C59/30</f>
        <v>171108</v>
      </c>
      <c r="P9" s="9">
        <f>'P&amp;L'!P13*'Drivers &amp; Assumptions'!C59/30</f>
        <v>251118</v>
      </c>
      <c r="Q9" s="9">
        <f>'P&amp;L'!Q13*'Drivers &amp; Assumptions'!C59/30</f>
        <v>222138</v>
      </c>
      <c r="R9" s="9">
        <f>'P&amp;L'!R13*'Drivers &amp; Assumptions'!C59/30</f>
        <v>247464</v>
      </c>
      <c r="S9" s="9">
        <f>'P&amp;L'!S13*'Drivers &amp; Assumptions'!C59/30</f>
        <v>327222</v>
      </c>
      <c r="T9" s="9">
        <f>'P&amp;L'!T13*'Drivers &amp; Assumptions'!C59/30</f>
        <v>298494</v>
      </c>
      <c r="U9" s="9">
        <f>'P&amp;L'!U13*'Drivers &amp; Assumptions'!C59/30</f>
        <v>324072</v>
      </c>
      <c r="V9" s="9">
        <f>'P&amp;L'!V13*'Drivers &amp; Assumptions'!C59/30</f>
        <v>404712</v>
      </c>
      <c r="W9" s="9">
        <f>'P&amp;L'!W13*'Drivers &amp; Assumptions'!C59/30</f>
        <v>376866</v>
      </c>
      <c r="X9" s="9">
        <f>'P&amp;L'!X13*'Drivers &amp; Assumptions'!C59/30</f>
        <v>404082</v>
      </c>
      <c r="Y9" s="9">
        <f>'P&amp;L'!Y13*'Drivers &amp; Assumptions'!C59/30</f>
        <v>486486</v>
      </c>
      <c r="Z9" s="9">
        <f>'P&amp;L'!Z13*'Drivers &amp; Assumptions'!C59/30</f>
        <v>460656</v>
      </c>
      <c r="AA9" s="9">
        <f>'P&amp;L'!AA13*'Drivers &amp; Assumptions'!C59/30</f>
        <v>490140</v>
      </c>
      <c r="AB9" s="9">
        <f>'P&amp;L'!AB13*'Drivers &amp; Assumptions'!C59/30</f>
        <v>593334</v>
      </c>
      <c r="AC9" s="9">
        <f>'P&amp;L'!AC13*'Drivers &amp; Assumptions'!C59/30</f>
        <v>552384</v>
      </c>
      <c r="AD9" s="9">
        <f>'P&amp;L'!AD13*'Drivers &amp; Assumptions'!C59/30</f>
        <v>585270</v>
      </c>
      <c r="AE9" s="9">
        <f>'P&amp;L'!AE13*'Drivers &amp; Assumptions'!C59/30</f>
        <v>692118</v>
      </c>
      <c r="AF9" s="9">
        <f>'P&amp;L'!AF13*'Drivers &amp; Assumptions'!C59/30</f>
        <v>655074</v>
      </c>
      <c r="AG9" s="9">
        <f>'P&amp;L'!AG13*'Drivers &amp; Assumptions'!C59/30</f>
        <v>692244</v>
      </c>
      <c r="AH9" s="9">
        <f>'P&amp;L'!AH13*'Drivers &amp; Assumptions'!C59/30</f>
        <v>803502</v>
      </c>
      <c r="AI9" s="9">
        <f>'P&amp;L'!AI13*'Drivers &amp; Assumptions'!C59/30</f>
        <v>771372</v>
      </c>
      <c r="AJ9" s="9">
        <f>'P&amp;L'!AJ13*'Drivers &amp; Assumptions'!C59/30</f>
        <v>813456</v>
      </c>
      <c r="AK9" s="9">
        <f>'P&amp;L'!AK13*'Drivers &amp; Assumptions'!C59/30</f>
        <v>930132</v>
      </c>
      <c r="AL9" s="9">
        <f>'P&amp;L'!AL13*'Drivers &amp; Assumptions'!C59/30</f>
        <v>909720</v>
      </c>
      <c r="AM9" s="9">
        <f>'P&amp;L'!AM13*'Drivers &amp; Assumptions'!C59/30</f>
        <v>959616</v>
      </c>
      <c r="AN9" s="9">
        <f>'P&amp;L'!AN13*'Drivers &amp; Assumptions'!C59/30</f>
        <v>1102500</v>
      </c>
      <c r="AO9" s="9">
        <f>'P&amp;L'!AO13*'Drivers &amp; Assumptions'!C59/30</f>
        <v>1066212</v>
      </c>
      <c r="AP9" s="9">
        <f>'P&amp;L'!AP13*'Drivers &amp; Assumptions'!C59/30</f>
        <v>1123164</v>
      </c>
      <c r="AQ9" s="9">
        <f>'P&amp;L'!AQ13*'Drivers &amp; Assumptions'!C59/30</f>
        <v>1273608</v>
      </c>
      <c r="AR9" s="9">
        <f>'P&amp;L'!AR13*'Drivers &amp; Assumptions'!C59/30</f>
        <v>1245510</v>
      </c>
      <c r="AS9" s="9">
        <f>'P&amp;L'!AS13*'Drivers &amp; Assumptions'!C59/30</f>
        <v>1311030</v>
      </c>
      <c r="AT9" s="9">
        <f>'P&amp;L'!AT13*'Drivers &amp; Assumptions'!C59/30</f>
        <v>1470294</v>
      </c>
      <c r="AU9" s="9">
        <f>'P&amp;L'!AU13*'Drivers &amp; Assumptions'!C59/30</f>
        <v>1451520</v>
      </c>
      <c r="AV9" s="9">
        <f>'P&amp;L'!AV13*'Drivers &amp; Assumptions'!C59/30</f>
        <v>1526994</v>
      </c>
      <c r="AW9" s="9">
        <f>'P&amp;L'!AW13*'Drivers &amp; Assumptions'!C59/30</f>
        <v>1696590</v>
      </c>
      <c r="AX9" s="9">
        <f>'P&amp;L'!AX13*'Drivers &amp; Assumptions'!C59/30</f>
        <v>1691676</v>
      </c>
      <c r="AY9" s="9">
        <f>'P&amp;L'!AY13*'Drivers &amp; Assumptions'!C59/30</f>
        <v>1778931</v>
      </c>
      <c r="AZ9" s="9">
        <f>'P&amp;L'!AZ13*'Drivers &amp; Assumptions'!C59/30</f>
        <v>1978956</v>
      </c>
      <c r="BA9" s="9">
        <f>'P&amp;L'!BA13*'Drivers &amp; Assumptions'!C59/30</f>
        <v>1965915</v>
      </c>
      <c r="BB9" s="9">
        <f>'P&amp;L'!BB13*'Drivers &amp; Assumptions'!C59/30</f>
        <v>2066274</v>
      </c>
      <c r="BC9" s="9">
        <f>'P&amp;L'!BC13*'Drivers &amp; Assumptions'!C59/30</f>
        <v>2280663</v>
      </c>
      <c r="BD9" s="9">
        <f>'P&amp;L'!BD13*'Drivers &amp; Assumptions'!C59/30</f>
        <v>2282238</v>
      </c>
      <c r="BE9" s="9">
        <f>'P&amp;L'!BE13*'Drivers &amp; Assumptions'!C59/30</f>
        <v>2398095</v>
      </c>
      <c r="BF9" s="9">
        <f>'P&amp;L'!BF13*'Drivers &amp; Assumptions'!C59/30</f>
        <v>2628486</v>
      </c>
      <c r="BG9" s="9">
        <f>'P&amp;L'!BG13*'Drivers &amp; Assumptions'!C59/30</f>
        <v>2647197</v>
      </c>
      <c r="BH9" s="9">
        <f>'P&amp;L'!BH13*'Drivers &amp; Assumptions'!C59/30</f>
        <v>2781072</v>
      </c>
      <c r="BI9" s="9">
        <f>'P&amp;L'!BI13*'Drivers &amp; Assumptions'!C59/30</f>
        <v>3030363</v>
      </c>
    </row>
    <row r="10" spans="1:61" ht="15" customHeight="1" x14ac:dyDescent="0.35">
      <c r="A10" s="10" t="s">
        <v>310</v>
      </c>
      <c r="B10" s="12">
        <f t="shared" ref="B10:AG10" si="0">B7+B8+B9</f>
        <v>106649.38</v>
      </c>
      <c r="C10" s="12">
        <f t="shared" si="0"/>
        <v>128056.55000000002</v>
      </c>
      <c r="D10" s="12">
        <f t="shared" si="0"/>
        <v>166811.57500000001</v>
      </c>
      <c r="E10" s="12">
        <f t="shared" si="0"/>
        <v>142230.50750000001</v>
      </c>
      <c r="F10" s="12">
        <f t="shared" si="0"/>
        <v>159120.61500000002</v>
      </c>
      <c r="G10" s="12">
        <f t="shared" si="0"/>
        <v>152989.05750000002</v>
      </c>
      <c r="H10" s="12">
        <f t="shared" si="0"/>
        <v>152357.45000000001</v>
      </c>
      <c r="I10" s="12">
        <f t="shared" si="0"/>
        <v>284187.3075</v>
      </c>
      <c r="J10" s="12">
        <f t="shared" si="0"/>
        <v>249107.17250000004</v>
      </c>
      <c r="K10" s="12">
        <f t="shared" si="0"/>
        <v>189069.51250000004</v>
      </c>
      <c r="L10" s="12">
        <f t="shared" si="0"/>
        <v>181217.85250000004</v>
      </c>
      <c r="M10" s="12">
        <f t="shared" si="0"/>
        <v>227885.43250000002</v>
      </c>
      <c r="N10" s="12">
        <f t="shared" si="0"/>
        <v>198877.41250000003</v>
      </c>
      <c r="O10" s="12">
        <f t="shared" si="0"/>
        <v>203267.04750000004</v>
      </c>
      <c r="P10" s="12">
        <f t="shared" si="0"/>
        <v>276635.83625000005</v>
      </c>
      <c r="Q10" s="12">
        <f t="shared" si="0"/>
        <v>283238.71125000005</v>
      </c>
      <c r="R10" s="12">
        <f t="shared" si="0"/>
        <v>324888.42100000003</v>
      </c>
      <c r="S10" s="12">
        <f t="shared" si="0"/>
        <v>431765.09423749999</v>
      </c>
      <c r="T10" s="12">
        <f t="shared" si="0"/>
        <v>471053.78713687498</v>
      </c>
      <c r="U10" s="12">
        <f t="shared" si="0"/>
        <v>545346.45568121877</v>
      </c>
      <c r="V10" s="12">
        <f t="shared" si="0"/>
        <v>685426.28165277978</v>
      </c>
      <c r="W10" s="12">
        <f t="shared" si="0"/>
        <v>758153.97192291869</v>
      </c>
      <c r="X10" s="12">
        <f t="shared" si="0"/>
        <v>866845.93070656457</v>
      </c>
      <c r="Y10" s="12">
        <f t="shared" si="0"/>
        <v>1042019.1644293928</v>
      </c>
      <c r="Z10" s="12">
        <f t="shared" si="0"/>
        <v>1098263.3588383624</v>
      </c>
      <c r="AA10" s="12">
        <f t="shared" si="0"/>
        <v>1204555.8529677805</v>
      </c>
      <c r="AB10" s="12">
        <f t="shared" si="0"/>
        <v>1396676.5445536696</v>
      </c>
      <c r="AC10" s="12">
        <f t="shared" si="0"/>
        <v>1497447.4164688531</v>
      </c>
      <c r="AD10" s="12">
        <f t="shared" si="0"/>
        <v>1644777.9137297957</v>
      </c>
      <c r="AE10" s="12">
        <f t="shared" si="0"/>
        <v>1879512.9756037854</v>
      </c>
      <c r="AF10" s="12">
        <f t="shared" si="0"/>
        <v>2024579.5573214747</v>
      </c>
      <c r="AG10" s="12">
        <f t="shared" si="0"/>
        <v>2218113.6408750485</v>
      </c>
      <c r="AH10" s="12">
        <f t="shared" ref="AH10:BI10" si="1">AH7+AH8+AH9</f>
        <v>2500878.3943563011</v>
      </c>
      <c r="AI10" s="12">
        <f t="shared" si="1"/>
        <v>2696211.2992616156</v>
      </c>
      <c r="AJ10" s="12">
        <f t="shared" si="1"/>
        <v>2941979.6851621964</v>
      </c>
      <c r="AK10" s="12">
        <f t="shared" si="1"/>
        <v>3279418.8711078065</v>
      </c>
      <c r="AL10" s="12">
        <f t="shared" si="1"/>
        <v>3420235.8681006967</v>
      </c>
      <c r="AM10" s="12">
        <f t="shared" si="1"/>
        <v>3642585.0831932314</v>
      </c>
      <c r="AN10" s="12">
        <f t="shared" si="1"/>
        <v>3978375.8532278929</v>
      </c>
      <c r="AO10" s="12">
        <f t="shared" si="1"/>
        <v>4206641.5599517878</v>
      </c>
      <c r="AP10" s="12">
        <f t="shared" si="1"/>
        <v>4500128.0581993768</v>
      </c>
      <c r="AQ10" s="12">
        <f t="shared" si="1"/>
        <v>4910380.4425468463</v>
      </c>
      <c r="AR10" s="12">
        <f t="shared" si="1"/>
        <v>5216766.9352991879</v>
      </c>
      <c r="AS10" s="12">
        <f t="shared" si="1"/>
        <v>5592059.4348766478</v>
      </c>
      <c r="AT10" s="12">
        <f t="shared" si="1"/>
        <v>6087831.9836204806</v>
      </c>
      <c r="AU10" s="12">
        <f t="shared" si="1"/>
        <v>6483788.0739890048</v>
      </c>
      <c r="AV10" s="12">
        <f t="shared" si="1"/>
        <v>6953029.3720634542</v>
      </c>
      <c r="AW10" s="12">
        <f t="shared" si="1"/>
        <v>7547150.6372291269</v>
      </c>
      <c r="AX10" s="12">
        <f t="shared" si="1"/>
        <v>7846265.1005905829</v>
      </c>
      <c r="AY10" s="12">
        <f t="shared" si="1"/>
        <v>8273339.4761826126</v>
      </c>
      <c r="AZ10" s="12">
        <f t="shared" si="1"/>
        <v>8848729.8433511183</v>
      </c>
      <c r="BA10" s="12">
        <f t="shared" si="1"/>
        <v>9308475.5720499232</v>
      </c>
      <c r="BB10" s="12">
        <f t="shared" si="1"/>
        <v>9860277.322730545</v>
      </c>
      <c r="BC10" s="12">
        <f t="shared" si="1"/>
        <v>10566916.455867071</v>
      </c>
      <c r="BD10" s="12">
        <f t="shared" si="1"/>
        <v>11163998.207957299</v>
      </c>
      <c r="BE10" s="12">
        <f t="shared" si="1"/>
        <v>11859908.032323914</v>
      </c>
      <c r="BF10" s="12">
        <f t="shared" si="1"/>
        <v>12717422.802955735</v>
      </c>
      <c r="BG10" s="12">
        <f t="shared" si="1"/>
        <v>13472955.07954102</v>
      </c>
      <c r="BH10" s="12">
        <f t="shared" si="1"/>
        <v>14335121.351752447</v>
      </c>
      <c r="BI10" s="12">
        <f t="shared" si="1"/>
        <v>15367057.820746319</v>
      </c>
    </row>
    <row r="12" spans="1:61" ht="15" customHeight="1" x14ac:dyDescent="0.35">
      <c r="A12" s="5" t="s">
        <v>311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</row>
    <row r="13" spans="1:61" ht="15" customHeight="1" x14ac:dyDescent="0.35">
      <c r="A13" s="7" t="s">
        <v>312</v>
      </c>
      <c r="B13" s="9">
        <f>'Drivers &amp; Assumptions'!C63-'Drivers &amp; Assumptions'!C62</f>
        <v>500</v>
      </c>
      <c r="C13" s="9">
        <f>B13+'Drivers &amp; Assumptions'!C63-'Drivers &amp; Assumptions'!C62</f>
        <v>1000</v>
      </c>
      <c r="D13" s="9">
        <f>C13+'Drivers &amp; Assumptions'!C63-'Drivers &amp; Assumptions'!C62</f>
        <v>1500</v>
      </c>
      <c r="E13" s="9">
        <f>D13+'Drivers &amp; Assumptions'!C63-'Drivers &amp; Assumptions'!C62</f>
        <v>2000</v>
      </c>
      <c r="F13" s="9">
        <f>E13+'Drivers &amp; Assumptions'!C63-'Drivers &amp; Assumptions'!C62</f>
        <v>2500</v>
      </c>
      <c r="G13" s="9">
        <f>F13+'Drivers &amp; Assumptions'!C63-'Drivers &amp; Assumptions'!C62</f>
        <v>3000</v>
      </c>
      <c r="H13" s="9">
        <f>G13+'Drivers &amp; Assumptions'!C63-'Drivers &amp; Assumptions'!C62</f>
        <v>3500</v>
      </c>
      <c r="I13" s="9">
        <f>H13+'Drivers &amp; Assumptions'!C63-'Drivers &amp; Assumptions'!C62</f>
        <v>4000</v>
      </c>
      <c r="J13" s="9">
        <f>I13+'Drivers &amp; Assumptions'!C63-'Drivers &amp; Assumptions'!C62</f>
        <v>4500</v>
      </c>
      <c r="K13" s="9">
        <f>J13+'Drivers &amp; Assumptions'!C63-'Drivers &amp; Assumptions'!C62</f>
        <v>5000</v>
      </c>
      <c r="L13" s="9">
        <f>K13+'Drivers &amp; Assumptions'!C63-'Drivers &amp; Assumptions'!C62</f>
        <v>5500</v>
      </c>
      <c r="M13" s="9">
        <f>L13+'Drivers &amp; Assumptions'!C63-'Drivers &amp; Assumptions'!C62</f>
        <v>6000</v>
      </c>
      <c r="N13" s="9">
        <f>M13+'Drivers &amp; Assumptions'!C63-'Drivers &amp; Assumptions'!C62</f>
        <v>6500</v>
      </c>
      <c r="O13" s="9">
        <f>N13+'Drivers &amp; Assumptions'!C63-'Drivers &amp; Assumptions'!C62</f>
        <v>7000</v>
      </c>
      <c r="P13" s="9">
        <f>O13+'Drivers &amp; Assumptions'!C63-'Drivers &amp; Assumptions'!C62</f>
        <v>7500</v>
      </c>
      <c r="Q13" s="9">
        <f>P13+'Drivers &amp; Assumptions'!C63-'Drivers &amp; Assumptions'!C62</f>
        <v>8000</v>
      </c>
      <c r="R13" s="9">
        <f>Q13+'Drivers &amp; Assumptions'!C63-'Drivers &amp; Assumptions'!C62</f>
        <v>8500</v>
      </c>
      <c r="S13" s="9">
        <f>R13+'Drivers &amp; Assumptions'!C63-'Drivers &amp; Assumptions'!C62</f>
        <v>9000</v>
      </c>
      <c r="T13" s="9">
        <f>S13+'Drivers &amp; Assumptions'!C63-'Drivers &amp; Assumptions'!C62</f>
        <v>9500</v>
      </c>
      <c r="U13" s="9">
        <f>T13+'Drivers &amp; Assumptions'!C63-'Drivers &amp; Assumptions'!C62</f>
        <v>10000</v>
      </c>
      <c r="V13" s="9">
        <f>U13+'Drivers &amp; Assumptions'!C63-'Drivers &amp; Assumptions'!C62</f>
        <v>10500</v>
      </c>
      <c r="W13" s="9">
        <f>V13+'Drivers &amp; Assumptions'!C63-'Drivers &amp; Assumptions'!C62</f>
        <v>11000</v>
      </c>
      <c r="X13" s="9">
        <f>W13+'Drivers &amp; Assumptions'!C63-'Drivers &amp; Assumptions'!C62</f>
        <v>11500</v>
      </c>
      <c r="Y13" s="9">
        <f>X13+'Drivers &amp; Assumptions'!C63-'Drivers &amp; Assumptions'!C62</f>
        <v>12000</v>
      </c>
      <c r="Z13" s="9">
        <f>Y13+'Drivers &amp; Assumptions'!C63-'Drivers &amp; Assumptions'!C62</f>
        <v>12500</v>
      </c>
      <c r="AA13" s="9">
        <f>Z13+'Drivers &amp; Assumptions'!C63-'Drivers &amp; Assumptions'!C62</f>
        <v>13000</v>
      </c>
      <c r="AB13" s="9">
        <f>AA13+'Drivers &amp; Assumptions'!C63-'Drivers &amp; Assumptions'!C62</f>
        <v>13500</v>
      </c>
      <c r="AC13" s="9">
        <f>AB13+'Drivers &amp; Assumptions'!C63-'Drivers &amp; Assumptions'!C62</f>
        <v>14000</v>
      </c>
      <c r="AD13" s="9">
        <f>AC13+'Drivers &amp; Assumptions'!C63-'Drivers &amp; Assumptions'!C62</f>
        <v>14500</v>
      </c>
      <c r="AE13" s="9">
        <f>AD13+'Drivers &amp; Assumptions'!C63-'Drivers &amp; Assumptions'!C62</f>
        <v>15000</v>
      </c>
      <c r="AF13" s="9">
        <f>AE13+'Drivers &amp; Assumptions'!C63-'Drivers &amp; Assumptions'!C62</f>
        <v>15500</v>
      </c>
      <c r="AG13" s="9">
        <f>AF13+'Drivers &amp; Assumptions'!C63-'Drivers &amp; Assumptions'!C62</f>
        <v>16000</v>
      </c>
      <c r="AH13" s="9">
        <f>AG13+'Drivers &amp; Assumptions'!C63-'Drivers &amp; Assumptions'!C62</f>
        <v>16500</v>
      </c>
      <c r="AI13" s="9">
        <f>AH13+'Drivers &amp; Assumptions'!C63-'Drivers &amp; Assumptions'!C62</f>
        <v>17000</v>
      </c>
      <c r="AJ13" s="9">
        <f>AI13+'Drivers &amp; Assumptions'!C63-'Drivers &amp; Assumptions'!C62</f>
        <v>17500</v>
      </c>
      <c r="AK13" s="9">
        <f>AJ13+'Drivers &amp; Assumptions'!C63-'Drivers &amp; Assumptions'!C62</f>
        <v>18000</v>
      </c>
      <c r="AL13" s="9">
        <f>AK13+'Drivers &amp; Assumptions'!C63-'Drivers &amp; Assumptions'!C62</f>
        <v>18500</v>
      </c>
      <c r="AM13" s="9">
        <f>AL13+'Drivers &amp; Assumptions'!C63-'Drivers &amp; Assumptions'!C62</f>
        <v>19000</v>
      </c>
      <c r="AN13" s="9">
        <f>AM13+'Drivers &amp; Assumptions'!C63-'Drivers &amp; Assumptions'!C62</f>
        <v>19500</v>
      </c>
      <c r="AO13" s="9">
        <f>AN13+'Drivers &amp; Assumptions'!C63-'Drivers &amp; Assumptions'!C62</f>
        <v>20000</v>
      </c>
      <c r="AP13" s="9">
        <f>AO13+'Drivers &amp; Assumptions'!C63-'Drivers &amp; Assumptions'!C62</f>
        <v>20500</v>
      </c>
      <c r="AQ13" s="9">
        <f>AP13+'Drivers &amp; Assumptions'!C63-'Drivers &amp; Assumptions'!C62</f>
        <v>21000</v>
      </c>
      <c r="AR13" s="9">
        <f>AQ13+'Drivers &amp; Assumptions'!C63-'Drivers &amp; Assumptions'!C62</f>
        <v>21500</v>
      </c>
      <c r="AS13" s="9">
        <f>AR13+'Drivers &amp; Assumptions'!C63-'Drivers &amp; Assumptions'!C62</f>
        <v>22000</v>
      </c>
      <c r="AT13" s="9">
        <f>AS13+'Drivers &amp; Assumptions'!C63-'Drivers &amp; Assumptions'!C62</f>
        <v>22500</v>
      </c>
      <c r="AU13" s="9">
        <f>AT13+'Drivers &amp; Assumptions'!C63-'Drivers &amp; Assumptions'!C62</f>
        <v>23000</v>
      </c>
      <c r="AV13" s="9">
        <f>AU13+'Drivers &amp; Assumptions'!C63-'Drivers &amp; Assumptions'!C62</f>
        <v>23500</v>
      </c>
      <c r="AW13" s="9">
        <f>AV13+'Drivers &amp; Assumptions'!C63-'Drivers &amp; Assumptions'!C62</f>
        <v>24000</v>
      </c>
      <c r="AX13" s="9">
        <f>AW13+'Drivers &amp; Assumptions'!C63-'Drivers &amp; Assumptions'!C62</f>
        <v>24500</v>
      </c>
      <c r="AY13" s="9">
        <f>AX13+'Drivers &amp; Assumptions'!C63-'Drivers &amp; Assumptions'!C62</f>
        <v>25000</v>
      </c>
      <c r="AZ13" s="9">
        <f>AY13+'Drivers &amp; Assumptions'!C63-'Drivers &amp; Assumptions'!C62</f>
        <v>25500</v>
      </c>
      <c r="BA13" s="9">
        <f>AZ13+'Drivers &amp; Assumptions'!C63-'Drivers &amp; Assumptions'!C62</f>
        <v>26000</v>
      </c>
      <c r="BB13" s="9">
        <f>BA13+'Drivers &amp; Assumptions'!C63-'Drivers &amp; Assumptions'!C62</f>
        <v>26500</v>
      </c>
      <c r="BC13" s="9">
        <f>BB13+'Drivers &amp; Assumptions'!C63-'Drivers &amp; Assumptions'!C62</f>
        <v>27000</v>
      </c>
      <c r="BD13" s="9">
        <f>BC13+'Drivers &amp; Assumptions'!C63-'Drivers &amp; Assumptions'!C62</f>
        <v>27500</v>
      </c>
      <c r="BE13" s="9">
        <f>BD13+'Drivers &amp; Assumptions'!C63-'Drivers &amp; Assumptions'!C62</f>
        <v>28000</v>
      </c>
      <c r="BF13" s="9">
        <f>BE13+'Drivers &amp; Assumptions'!C63-'Drivers &amp; Assumptions'!C62</f>
        <v>28500</v>
      </c>
      <c r="BG13" s="9">
        <f>BF13+'Drivers &amp; Assumptions'!C63-'Drivers &amp; Assumptions'!C62</f>
        <v>29000</v>
      </c>
      <c r="BH13" s="9">
        <f>BG13+'Drivers &amp; Assumptions'!C63-'Drivers &amp; Assumptions'!C62</f>
        <v>29500</v>
      </c>
      <c r="BI13" s="9">
        <f>BH13+'Drivers &amp; Assumptions'!C63-'Drivers &amp; Assumptions'!C62</f>
        <v>30000</v>
      </c>
    </row>
    <row r="15" spans="1:61" ht="15" customHeight="1" x14ac:dyDescent="0.35">
      <c r="A15" s="10" t="s">
        <v>313</v>
      </c>
      <c r="B15" s="14">
        <f t="shared" ref="B15:AG15" si="2">B10+B13</f>
        <v>107149.38</v>
      </c>
      <c r="C15" s="14">
        <f t="shared" si="2"/>
        <v>129056.55000000002</v>
      </c>
      <c r="D15" s="14">
        <f t="shared" si="2"/>
        <v>168311.57500000001</v>
      </c>
      <c r="E15" s="14">
        <f t="shared" si="2"/>
        <v>144230.50750000001</v>
      </c>
      <c r="F15" s="14">
        <f t="shared" si="2"/>
        <v>161620.61500000002</v>
      </c>
      <c r="G15" s="14">
        <f t="shared" si="2"/>
        <v>155989.05750000002</v>
      </c>
      <c r="H15" s="14">
        <f t="shared" si="2"/>
        <v>155857.45000000001</v>
      </c>
      <c r="I15" s="14">
        <f t="shared" si="2"/>
        <v>288187.3075</v>
      </c>
      <c r="J15" s="14">
        <f t="shared" si="2"/>
        <v>253607.17250000004</v>
      </c>
      <c r="K15" s="14">
        <f t="shared" si="2"/>
        <v>194069.51250000004</v>
      </c>
      <c r="L15" s="14">
        <f t="shared" si="2"/>
        <v>186717.85250000004</v>
      </c>
      <c r="M15" s="14">
        <f t="shared" si="2"/>
        <v>233885.43250000002</v>
      </c>
      <c r="N15" s="14">
        <f t="shared" si="2"/>
        <v>205377.41250000003</v>
      </c>
      <c r="O15" s="14">
        <f t="shared" si="2"/>
        <v>210267.04750000004</v>
      </c>
      <c r="P15" s="14">
        <f t="shared" si="2"/>
        <v>284135.83625000005</v>
      </c>
      <c r="Q15" s="14">
        <f t="shared" si="2"/>
        <v>291238.71125000005</v>
      </c>
      <c r="R15" s="14">
        <f t="shared" si="2"/>
        <v>333388.42100000003</v>
      </c>
      <c r="S15" s="14">
        <f t="shared" si="2"/>
        <v>440765.09423749999</v>
      </c>
      <c r="T15" s="14">
        <f t="shared" si="2"/>
        <v>480553.78713687498</v>
      </c>
      <c r="U15" s="14">
        <f t="shared" si="2"/>
        <v>555346.45568121877</v>
      </c>
      <c r="V15" s="14">
        <f t="shared" si="2"/>
        <v>695926.28165277978</v>
      </c>
      <c r="W15" s="14">
        <f t="shared" si="2"/>
        <v>769153.97192291869</v>
      </c>
      <c r="X15" s="14">
        <f t="shared" si="2"/>
        <v>878345.93070656457</v>
      </c>
      <c r="Y15" s="14">
        <f t="shared" si="2"/>
        <v>1054019.1644293927</v>
      </c>
      <c r="Z15" s="14">
        <f t="shared" si="2"/>
        <v>1110763.3588383624</v>
      </c>
      <c r="AA15" s="14">
        <f t="shared" si="2"/>
        <v>1217555.8529677805</v>
      </c>
      <c r="AB15" s="14">
        <f t="shared" si="2"/>
        <v>1410176.5445536696</v>
      </c>
      <c r="AC15" s="14">
        <f t="shared" si="2"/>
        <v>1511447.4164688531</v>
      </c>
      <c r="AD15" s="14">
        <f t="shared" si="2"/>
        <v>1659277.9137297957</v>
      </c>
      <c r="AE15" s="14">
        <f t="shared" si="2"/>
        <v>1894512.9756037854</v>
      </c>
      <c r="AF15" s="14">
        <f t="shared" si="2"/>
        <v>2040079.5573214747</v>
      </c>
      <c r="AG15" s="14">
        <f t="shared" si="2"/>
        <v>2234113.6408750485</v>
      </c>
      <c r="AH15" s="14">
        <f t="shared" ref="AH15:BI15" si="3">AH10+AH13</f>
        <v>2517378.3943563011</v>
      </c>
      <c r="AI15" s="14">
        <f t="shared" si="3"/>
        <v>2713211.2992616156</v>
      </c>
      <c r="AJ15" s="14">
        <f t="shared" si="3"/>
        <v>2959479.6851621964</v>
      </c>
      <c r="AK15" s="14">
        <f t="shared" si="3"/>
        <v>3297418.8711078065</v>
      </c>
      <c r="AL15" s="14">
        <f t="shared" si="3"/>
        <v>3438735.8681006967</v>
      </c>
      <c r="AM15" s="14">
        <f t="shared" si="3"/>
        <v>3661585.0831932314</v>
      </c>
      <c r="AN15" s="14">
        <f t="shared" si="3"/>
        <v>3997875.8532278929</v>
      </c>
      <c r="AO15" s="14">
        <f t="shared" si="3"/>
        <v>4226641.5599517878</v>
      </c>
      <c r="AP15" s="14">
        <f t="shared" si="3"/>
        <v>4520628.0581993768</v>
      </c>
      <c r="AQ15" s="14">
        <f t="shared" si="3"/>
        <v>4931380.4425468463</v>
      </c>
      <c r="AR15" s="14">
        <f t="shared" si="3"/>
        <v>5238266.9352991879</v>
      </c>
      <c r="AS15" s="14">
        <f t="shared" si="3"/>
        <v>5614059.4348766478</v>
      </c>
      <c r="AT15" s="14">
        <f t="shared" si="3"/>
        <v>6110331.9836204806</v>
      </c>
      <c r="AU15" s="14">
        <f t="shared" si="3"/>
        <v>6506788.0739890048</v>
      </c>
      <c r="AV15" s="14">
        <f t="shared" si="3"/>
        <v>6976529.3720634542</v>
      </c>
      <c r="AW15" s="14">
        <f t="shared" si="3"/>
        <v>7571150.6372291269</v>
      </c>
      <c r="AX15" s="14">
        <f t="shared" si="3"/>
        <v>7870765.1005905829</v>
      </c>
      <c r="AY15" s="14">
        <f t="shared" si="3"/>
        <v>8298339.4761826126</v>
      </c>
      <c r="AZ15" s="14">
        <f t="shared" si="3"/>
        <v>8874229.8433511183</v>
      </c>
      <c r="BA15" s="14">
        <f t="shared" si="3"/>
        <v>9334475.5720499232</v>
      </c>
      <c r="BB15" s="14">
        <f t="shared" si="3"/>
        <v>9886777.322730545</v>
      </c>
      <c r="BC15" s="14">
        <f t="shared" si="3"/>
        <v>10593916.455867071</v>
      </c>
      <c r="BD15" s="14">
        <f t="shared" si="3"/>
        <v>11191498.207957299</v>
      </c>
      <c r="BE15" s="14">
        <f t="shared" si="3"/>
        <v>11887908.032323914</v>
      </c>
      <c r="BF15" s="14">
        <f t="shared" si="3"/>
        <v>12745922.802955735</v>
      </c>
      <c r="BG15" s="14">
        <f t="shared" si="3"/>
        <v>13501955.07954102</v>
      </c>
      <c r="BH15" s="14">
        <f t="shared" si="3"/>
        <v>14364621.351752447</v>
      </c>
      <c r="BI15" s="14">
        <f t="shared" si="3"/>
        <v>15397057.820746319</v>
      </c>
    </row>
    <row r="17" spans="1:61" ht="15" customHeight="1" x14ac:dyDescent="0.35">
      <c r="A17" s="5" t="s">
        <v>314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</row>
    <row r="18" spans="1:61" ht="15" customHeight="1" x14ac:dyDescent="0.35">
      <c r="A18" s="7" t="s">
        <v>315</v>
      </c>
      <c r="B18" s="9">
        <f>('P&amp;L'!B13+'P&amp;L'!B14)*30/30</f>
        <v>15559</v>
      </c>
      <c r="C18" s="9">
        <f>('P&amp;L'!C13+'P&amp;L'!C14)*30/30</f>
        <v>25545.75</v>
      </c>
      <c r="D18" s="9">
        <f>('P&amp;L'!D13+'P&amp;L'!D14)*30/30</f>
        <v>38004.25</v>
      </c>
      <c r="E18" s="9">
        <f>('P&amp;L'!E13+'P&amp;L'!E14)*30/30</f>
        <v>21132.25</v>
      </c>
      <c r="F18" s="9">
        <f>('P&amp;L'!F13+'P&amp;L'!F14)*30/30</f>
        <v>26834.5</v>
      </c>
      <c r="G18" s="9">
        <f>('P&amp;L'!G13+'P&amp;L'!G14)*30/30</f>
        <v>22253.25</v>
      </c>
      <c r="H18" s="9">
        <f>('P&amp;L'!H13+'P&amp;L'!H14)*30/30</f>
        <v>21905.5</v>
      </c>
      <c r="I18" s="9">
        <f>('P&amp;L'!I13+'P&amp;L'!I14)*30/30</f>
        <v>67117.75</v>
      </c>
      <c r="J18" s="9">
        <f>('P&amp;L'!J13+'P&amp;L'!J14)*30/30</f>
        <v>25144</v>
      </c>
      <c r="K18" s="9">
        <f>('P&amp;L'!K13+'P&amp;L'!K14)*30/30</f>
        <v>15094.5</v>
      </c>
      <c r="L18" s="9">
        <f>('P&amp;L'!L13+'P&amp;L'!L14)*30/30</f>
        <v>31407</v>
      </c>
      <c r="M18" s="9">
        <f>('P&amp;L'!M13+'P&amp;L'!M14)*30/30</f>
        <v>52686.5</v>
      </c>
      <c r="N18" s="9">
        <f>('P&amp;L'!N13+'P&amp;L'!N14)*30/30</f>
        <v>50025</v>
      </c>
      <c r="O18" s="9">
        <f>('P&amp;L'!O13+'P&amp;L'!O14)*30/30</f>
        <v>59073</v>
      </c>
      <c r="P18" s="9">
        <f>('P&amp;L'!P13+'P&amp;L'!P14)*30/30</f>
        <v>82111.5</v>
      </c>
      <c r="Q18" s="9">
        <f>('P&amp;L'!Q13+'P&amp;L'!Q14)*30/30</f>
        <v>76690.5</v>
      </c>
      <c r="R18" s="9">
        <f>('P&amp;L'!R13+'P&amp;L'!R14)*30/30</f>
        <v>85434</v>
      </c>
      <c r="S18" s="9">
        <f>('P&amp;L'!S13+'P&amp;L'!S14)*30/30</f>
        <v>108385.5</v>
      </c>
      <c r="T18" s="9">
        <f>('P&amp;L'!T13+'P&amp;L'!T14)*30/30</f>
        <v>103051.5</v>
      </c>
      <c r="U18" s="9">
        <f>('P&amp;L'!U13+'P&amp;L'!U14)*30/30</f>
        <v>111882</v>
      </c>
      <c r="V18" s="9">
        <f>('P&amp;L'!V13+'P&amp;L'!V14)*30/30</f>
        <v>135138</v>
      </c>
      <c r="W18" s="9">
        <f>('P&amp;L'!W13+'P&amp;L'!W14)*30/30</f>
        <v>130108.5</v>
      </c>
      <c r="X18" s="9">
        <f>('P&amp;L'!X13+'P&amp;L'!X14)*30/30</f>
        <v>139504.5</v>
      </c>
      <c r="Y18" s="9">
        <f>('P&amp;L'!Y13+'P&amp;L'!Y14)*30/30</f>
        <v>163369.5</v>
      </c>
      <c r="Z18" s="9">
        <f>('P&amp;L'!Z13+'P&amp;L'!Z14)*30/30</f>
        <v>159036</v>
      </c>
      <c r="AA18" s="9">
        <f>('P&amp;L'!AA13+'P&amp;L'!AA14)*30/30</f>
        <v>169215</v>
      </c>
      <c r="AB18" s="9">
        <f>('P&amp;L'!AB13+'P&amp;L'!AB14)*30/30</f>
        <v>198729.5</v>
      </c>
      <c r="AC18" s="9">
        <f>('P&amp;L'!AC13+'P&amp;L'!AC14)*30/30</f>
        <v>190704</v>
      </c>
      <c r="AD18" s="9">
        <f>('P&amp;L'!AD13+'P&amp;L'!AD14)*30/30</f>
        <v>202057.5</v>
      </c>
      <c r="AE18" s="9">
        <f>('P&amp;L'!AE13+'P&amp;L'!AE14)*30/30</f>
        <v>232833.5</v>
      </c>
      <c r="AF18" s="9">
        <f>('P&amp;L'!AF13+'P&amp;L'!AF14)*30/30</f>
        <v>226156.5</v>
      </c>
      <c r="AG18" s="9">
        <f>('P&amp;L'!AG13+'P&amp;L'!AG14)*30/30</f>
        <v>238989</v>
      </c>
      <c r="AH18" s="9">
        <f>('P&amp;L'!AH13+'P&amp;L'!AH14)*30/30</f>
        <v>271287.5</v>
      </c>
      <c r="AI18" s="9">
        <f>('P&amp;L'!AI13+'P&amp;L'!AI14)*30/30</f>
        <v>266307</v>
      </c>
      <c r="AJ18" s="9">
        <f>('P&amp;L'!AJ13+'P&amp;L'!AJ14)*30/30</f>
        <v>280836</v>
      </c>
      <c r="AK18" s="9">
        <f>('P&amp;L'!AK13+'P&amp;L'!AK14)*30/30</f>
        <v>315005</v>
      </c>
      <c r="AL18" s="9">
        <f>('P&amp;L'!AL13+'P&amp;L'!AL14)*30/30</f>
        <v>313578</v>
      </c>
      <c r="AM18" s="9">
        <f>('P&amp;L'!AM13+'P&amp;L'!AM14)*30/30</f>
        <v>330678</v>
      </c>
      <c r="AN18" s="9">
        <f>('P&amp;L'!AN13+'P&amp;L'!AN14)*30/30</f>
        <v>372241</v>
      </c>
      <c r="AO18" s="9">
        <f>('P&amp;L'!AO13+'P&amp;L'!AO14)*30/30</f>
        <v>367233</v>
      </c>
      <c r="AP18" s="9">
        <f>('P&amp;L'!AP13+'P&amp;L'!AP14)*30/30</f>
        <v>386769</v>
      </c>
      <c r="AQ18" s="9">
        <f>('P&amp;L'!AQ13+'P&amp;L'!AQ14)*30/30</f>
        <v>430942</v>
      </c>
      <c r="AR18" s="9">
        <f>('P&amp;L'!AR13+'P&amp;L'!AR14)*30/30</f>
        <v>428761.5</v>
      </c>
      <c r="AS18" s="9">
        <f>('P&amp;L'!AS13+'P&amp;L'!AS14)*30/30</f>
        <v>451255.5</v>
      </c>
      <c r="AT18" s="9">
        <f>('P&amp;L'!AT13+'P&amp;L'!AT14)*30/30</f>
        <v>498473.5</v>
      </c>
      <c r="AU18" s="9">
        <f>('P&amp;L'!AU13+'P&amp;L'!AU14)*30/30</f>
        <v>499512</v>
      </c>
      <c r="AV18" s="9">
        <f>('P&amp;L'!AV13+'P&amp;L'!AV14)*30/30</f>
        <v>525442.5</v>
      </c>
      <c r="AW18" s="9">
        <f>('P&amp;L'!AW13+'P&amp;L'!AW14)*30/30</f>
        <v>576227.5</v>
      </c>
      <c r="AX18" s="9">
        <f>('P&amp;L'!AX13+'P&amp;L'!AX14)*30/30</f>
        <v>581799</v>
      </c>
      <c r="AY18" s="9">
        <f>('P&amp;L'!AY13+'P&amp;L'!AY14)*30/30</f>
        <v>611784.75</v>
      </c>
      <c r="AZ18" s="9">
        <f>('P&amp;L'!AZ13+'P&amp;L'!AZ14)*30/30</f>
        <v>671535</v>
      </c>
      <c r="BA18" s="9">
        <f>('P&amp;L'!BA13+'P&amp;L'!BA14)*30/30</f>
        <v>676062.75</v>
      </c>
      <c r="BB18" s="9">
        <f>('P&amp;L'!BB13+'P&amp;L'!BB14)*30/30</f>
        <v>710566.5</v>
      </c>
      <c r="BC18" s="9">
        <f>('P&amp;L'!BC13+'P&amp;L'!BC14)*30/30</f>
        <v>775275.75</v>
      </c>
      <c r="BD18" s="9">
        <f>('P&amp;L'!BD13+'P&amp;L'!BD14)*30/30</f>
        <v>784849.5</v>
      </c>
      <c r="BE18" s="9">
        <f>('P&amp;L'!BE13+'P&amp;L'!BE14)*30/30</f>
        <v>824709.75</v>
      </c>
      <c r="BF18" s="9">
        <f>('P&amp;L'!BF13+'P&amp;L'!BF14)*30/30</f>
        <v>894937.5</v>
      </c>
      <c r="BG18" s="9">
        <f>('P&amp;L'!BG13+'P&amp;L'!BG14)*30/30</f>
        <v>910427.25</v>
      </c>
      <c r="BH18" s="9">
        <f>('P&amp;L'!BH13+'P&amp;L'!BH14)*30/30</f>
        <v>956508</v>
      </c>
      <c r="BI18" s="9">
        <f>('P&amp;L'!BI13+'P&amp;L'!BI14)*30/30</f>
        <v>1033266.75</v>
      </c>
    </row>
    <row r="19" spans="1:61" ht="15" customHeight="1" x14ac:dyDescent="0.35">
      <c r="A19" s="7" t="s">
        <v>316</v>
      </c>
      <c r="B19" s="8">
        <f>'P&amp;L'!B38</f>
        <v>0</v>
      </c>
      <c r="C19" s="8">
        <f>'P&amp;L'!C38</f>
        <v>2980.1049999999996</v>
      </c>
      <c r="D19" s="8">
        <f>'P&amp;L'!D38</f>
        <v>7444.1575000000012</v>
      </c>
      <c r="E19" s="8">
        <f>'P&amp;L'!E38</f>
        <v>58.772499999999127</v>
      </c>
      <c r="F19" s="8">
        <f>'P&amp;L'!F38</f>
        <v>2936.6575000000012</v>
      </c>
      <c r="G19" s="8">
        <f>'P&amp;L'!G38</f>
        <v>471.58749999999964</v>
      </c>
      <c r="H19" s="8">
        <f>'P&amp;L'!H38</f>
        <v>171.93249999999898</v>
      </c>
      <c r="I19" s="8">
        <f>'P&amp;L'!I38</f>
        <v>21822.384999999998</v>
      </c>
      <c r="J19" s="8">
        <f>'P&amp;L'!J38</f>
        <v>7304</v>
      </c>
      <c r="K19" s="8">
        <f>'P&amp;L'!K38</f>
        <v>0</v>
      </c>
      <c r="L19" s="8">
        <f>'P&amp;L'!L38</f>
        <v>0</v>
      </c>
      <c r="M19" s="8">
        <f>'P&amp;L'!M38</f>
        <v>6472.02</v>
      </c>
      <c r="N19" s="8">
        <f>'P&amp;L'!N38</f>
        <v>0</v>
      </c>
      <c r="O19" s="8">
        <f>'P&amp;L'!O38</f>
        <v>0</v>
      </c>
      <c r="P19" s="8">
        <f>'P&amp;L'!P38</f>
        <v>12707.572187499994</v>
      </c>
      <c r="Q19" s="8">
        <f>'P&amp;L'!Q38</f>
        <v>6307.8617968749968</v>
      </c>
      <c r="R19" s="8">
        <f>'P&amp;L'!R38</f>
        <v>9928.5178867187533</v>
      </c>
      <c r="S19" s="8">
        <f>'P&amp;L'!S38</f>
        <v>23588.422781054684</v>
      </c>
      <c r="T19" s="8">
        <f>'P&amp;L'!T38</f>
        <v>17177.778920107419</v>
      </c>
      <c r="U19" s="8">
        <f>'P&amp;L'!U38</f>
        <v>20784.986866112791</v>
      </c>
      <c r="V19" s="8">
        <f>'P&amp;L'!V38</f>
        <v>34527.203209418432</v>
      </c>
      <c r="W19" s="8">
        <f>'P&amp;L'!W38</f>
        <v>28196.098369889347</v>
      </c>
      <c r="X19" s="8">
        <f>'P&amp;L'!X38</f>
        <v>31998.01428838382</v>
      </c>
      <c r="Y19" s="8">
        <f>'P&amp;L'!Y38</f>
        <v>45951.56200280301</v>
      </c>
      <c r="Z19" s="8">
        <f>'P&amp;L'!Z38</f>
        <v>26757.314102943157</v>
      </c>
      <c r="AA19" s="8">
        <f>'P&amp;L'!AA38</f>
        <v>30842.702058090312</v>
      </c>
      <c r="AB19" s="8">
        <f>'P&amp;L'!AB38</f>
        <v>48487.223410994833</v>
      </c>
      <c r="AC19" s="8">
        <f>'P&amp;L'!AC38</f>
        <v>39445.898831544568</v>
      </c>
      <c r="AD19" s="8">
        <f>'P&amp;L'!AD38</f>
        <v>43980.724023121802</v>
      </c>
      <c r="AE19" s="8">
        <f>'P&amp;L'!AE38</f>
        <v>62109.946474277887</v>
      </c>
      <c r="AF19" s="8">
        <f>'P&amp;L'!AF38</f>
        <v>53588.382047991792</v>
      </c>
      <c r="AG19" s="8">
        <f>'P&amp;L'!AG38</f>
        <v>58697.491400391373</v>
      </c>
      <c r="AH19" s="8">
        <f>'P&amp;L'!AH38</f>
        <v>77415.936220410935</v>
      </c>
      <c r="AI19" s="8">
        <f>'P&amp;L'!AI38</f>
        <v>69557.3352814315</v>
      </c>
      <c r="AJ19" s="8">
        <f>'P&amp;L'!AJ38</f>
        <v>75324.180295503058</v>
      </c>
      <c r="AK19" s="8">
        <f>'P&amp;L'!AK38</f>
        <v>94773.591560278233</v>
      </c>
      <c r="AL19" s="8">
        <f>'P&amp;L'!AL38</f>
        <v>59379.397138292145</v>
      </c>
      <c r="AM19" s="8">
        <f>'P&amp;L'!AM38</f>
        <v>66282.153057706746</v>
      </c>
      <c r="AN19" s="8">
        <f>'P&amp;L'!AN38</f>
        <v>90252.480773092073</v>
      </c>
      <c r="AO19" s="8">
        <f>'P&amp;L'!AO38</f>
        <v>81006.546874246647</v>
      </c>
      <c r="AP19" s="8">
        <f>'P&amp;L'!AP38</f>
        <v>88864.261280459003</v>
      </c>
      <c r="AQ19" s="8">
        <f>'P&amp;L'!AQ38</f>
        <v>113860.91140698195</v>
      </c>
      <c r="AR19" s="8">
        <f>'P&amp;L'!AR38</f>
        <v>105731.97603983106</v>
      </c>
      <c r="AS19" s="8">
        <f>'P&amp;L'!AS38</f>
        <v>114757.61890432262</v>
      </c>
      <c r="AT19" s="8">
        <f>'P&amp;L'!AT38</f>
        <v>140953.04191203872</v>
      </c>
      <c r="AU19" s="8">
        <f>'P&amp;L'!AU38</f>
        <v>134092.65807014063</v>
      </c>
      <c r="AV19" s="8">
        <f>'P&amp;L'!AV38</f>
        <v>144475.86403614769</v>
      </c>
      <c r="AW19" s="8">
        <f>'P&amp;L'!AW38</f>
        <v>172078.03230045509</v>
      </c>
      <c r="AX19" s="8">
        <f>'P&amp;L'!AX38</f>
        <v>116530.2489154778</v>
      </c>
      <c r="AY19" s="8">
        <f>'P&amp;L'!AY38</f>
        <v>128529.71862687674</v>
      </c>
      <c r="AZ19" s="8">
        <f>'P&amp;L'!AZ38</f>
        <v>161167.45894884554</v>
      </c>
      <c r="BA19" s="8">
        <f>'P&amp;L'!BA38</f>
        <v>154221.35941191282</v>
      </c>
      <c r="BB19" s="8">
        <f>'P&amp;L'!BB38</f>
        <v>168004.84002313341</v>
      </c>
      <c r="BC19" s="8">
        <f>'P&amp;L'!BC38</f>
        <v>202608.68078991518</v>
      </c>
      <c r="BD19" s="8">
        <f>'P&amp;L'!BD38</f>
        <v>197654.17072003588</v>
      </c>
      <c r="BE19" s="8">
        <f>'P&amp;L'!BE38</f>
        <v>213550.93627166262</v>
      </c>
      <c r="BF19" s="8">
        <f>'P&amp;L'!BF38</f>
        <v>250334.48922587081</v>
      </c>
      <c r="BG19" s="8">
        <f>'P&amp;L'!BG38</f>
        <v>247719.25395278929</v>
      </c>
      <c r="BH19" s="8">
        <f>'P&amp;L'!BH38</f>
        <v>266076.19404105382</v>
      </c>
      <c r="BI19" s="8">
        <f>'P&amp;L'!BI38</f>
        <v>305438.47825873154</v>
      </c>
    </row>
    <row r="20" spans="1:61" ht="15" customHeight="1" x14ac:dyDescent="0.35">
      <c r="A20" s="10" t="s">
        <v>317</v>
      </c>
      <c r="B20" s="12">
        <f t="shared" ref="B20:AG20" si="4">B18+B19</f>
        <v>15559</v>
      </c>
      <c r="C20" s="12">
        <f t="shared" si="4"/>
        <v>28525.855</v>
      </c>
      <c r="D20" s="12">
        <f t="shared" si="4"/>
        <v>45448.407500000001</v>
      </c>
      <c r="E20" s="12">
        <f t="shared" si="4"/>
        <v>21191.022499999999</v>
      </c>
      <c r="F20" s="12">
        <f t="shared" si="4"/>
        <v>29771.157500000001</v>
      </c>
      <c r="G20" s="12">
        <f t="shared" si="4"/>
        <v>22724.837500000001</v>
      </c>
      <c r="H20" s="12">
        <f t="shared" si="4"/>
        <v>22077.432499999999</v>
      </c>
      <c r="I20" s="12">
        <f t="shared" si="4"/>
        <v>88940.134999999995</v>
      </c>
      <c r="J20" s="12">
        <f t="shared" si="4"/>
        <v>32448</v>
      </c>
      <c r="K20" s="12">
        <f t="shared" si="4"/>
        <v>15094.5</v>
      </c>
      <c r="L20" s="12">
        <f t="shared" si="4"/>
        <v>31407</v>
      </c>
      <c r="M20" s="12">
        <f t="shared" si="4"/>
        <v>59158.520000000004</v>
      </c>
      <c r="N20" s="12">
        <f t="shared" si="4"/>
        <v>50025</v>
      </c>
      <c r="O20" s="12">
        <f t="shared" si="4"/>
        <v>59073</v>
      </c>
      <c r="P20" s="12">
        <f t="shared" si="4"/>
        <v>94819.072187499987</v>
      </c>
      <c r="Q20" s="12">
        <f t="shared" si="4"/>
        <v>82998.36179687499</v>
      </c>
      <c r="R20" s="12">
        <f t="shared" si="4"/>
        <v>95362.51788671875</v>
      </c>
      <c r="S20" s="12">
        <f t="shared" si="4"/>
        <v>131973.92278105469</v>
      </c>
      <c r="T20" s="12">
        <f t="shared" si="4"/>
        <v>120229.27892010742</v>
      </c>
      <c r="U20" s="12">
        <f t="shared" si="4"/>
        <v>132666.9868661128</v>
      </c>
      <c r="V20" s="12">
        <f t="shared" si="4"/>
        <v>169665.20320941843</v>
      </c>
      <c r="W20" s="12">
        <f t="shared" si="4"/>
        <v>158304.59836988934</v>
      </c>
      <c r="X20" s="12">
        <f t="shared" si="4"/>
        <v>171502.51428838383</v>
      </c>
      <c r="Y20" s="12">
        <f t="shared" si="4"/>
        <v>209321.06200280302</v>
      </c>
      <c r="Z20" s="12">
        <f t="shared" si="4"/>
        <v>185793.31410294317</v>
      </c>
      <c r="AA20" s="12">
        <f t="shared" si="4"/>
        <v>200057.7020580903</v>
      </c>
      <c r="AB20" s="12">
        <f t="shared" si="4"/>
        <v>247216.72341099483</v>
      </c>
      <c r="AC20" s="12">
        <f t="shared" si="4"/>
        <v>230149.89883154456</v>
      </c>
      <c r="AD20" s="12">
        <f t="shared" si="4"/>
        <v>246038.22402312182</v>
      </c>
      <c r="AE20" s="12">
        <f t="shared" si="4"/>
        <v>294943.44647427788</v>
      </c>
      <c r="AF20" s="12">
        <f t="shared" si="4"/>
        <v>279744.88204799179</v>
      </c>
      <c r="AG20" s="12">
        <f t="shared" si="4"/>
        <v>297686.49140039139</v>
      </c>
      <c r="AH20" s="12">
        <f t="shared" ref="AH20:BI20" si="5">AH18+AH19</f>
        <v>348703.43622041092</v>
      </c>
      <c r="AI20" s="12">
        <f t="shared" si="5"/>
        <v>335864.3352814315</v>
      </c>
      <c r="AJ20" s="12">
        <f t="shared" si="5"/>
        <v>356160.18029550306</v>
      </c>
      <c r="AK20" s="12">
        <f t="shared" si="5"/>
        <v>409778.5915602782</v>
      </c>
      <c r="AL20" s="12">
        <f t="shared" si="5"/>
        <v>372957.39713829214</v>
      </c>
      <c r="AM20" s="12">
        <f t="shared" si="5"/>
        <v>396960.15305770678</v>
      </c>
      <c r="AN20" s="12">
        <f t="shared" si="5"/>
        <v>462493.48077309207</v>
      </c>
      <c r="AO20" s="12">
        <f t="shared" si="5"/>
        <v>448239.54687424668</v>
      </c>
      <c r="AP20" s="12">
        <f t="shared" si="5"/>
        <v>475633.261280459</v>
      </c>
      <c r="AQ20" s="12">
        <f t="shared" si="5"/>
        <v>544802.91140698199</v>
      </c>
      <c r="AR20" s="12">
        <f t="shared" si="5"/>
        <v>534493.47603983106</v>
      </c>
      <c r="AS20" s="12">
        <f t="shared" si="5"/>
        <v>566013.11890432262</v>
      </c>
      <c r="AT20" s="12">
        <f t="shared" si="5"/>
        <v>639426.54191203869</v>
      </c>
      <c r="AU20" s="12">
        <f t="shared" si="5"/>
        <v>633604.65807014063</v>
      </c>
      <c r="AV20" s="12">
        <f t="shared" si="5"/>
        <v>669918.36403614772</v>
      </c>
      <c r="AW20" s="12">
        <f t="shared" si="5"/>
        <v>748305.53230045503</v>
      </c>
      <c r="AX20" s="12">
        <f t="shared" si="5"/>
        <v>698329.24891547777</v>
      </c>
      <c r="AY20" s="12">
        <f t="shared" si="5"/>
        <v>740314.46862687671</v>
      </c>
      <c r="AZ20" s="12">
        <f t="shared" si="5"/>
        <v>832702.45894884551</v>
      </c>
      <c r="BA20" s="12">
        <f t="shared" si="5"/>
        <v>830284.10941191285</v>
      </c>
      <c r="BB20" s="12">
        <f t="shared" si="5"/>
        <v>878571.34002313344</v>
      </c>
      <c r="BC20" s="12">
        <f t="shared" si="5"/>
        <v>977884.43078991515</v>
      </c>
      <c r="BD20" s="12">
        <f t="shared" si="5"/>
        <v>982503.67072003591</v>
      </c>
      <c r="BE20" s="12">
        <f t="shared" si="5"/>
        <v>1038260.6862716626</v>
      </c>
      <c r="BF20" s="12">
        <f t="shared" si="5"/>
        <v>1145271.9892258709</v>
      </c>
      <c r="BG20" s="12">
        <f t="shared" si="5"/>
        <v>1158146.5039527894</v>
      </c>
      <c r="BH20" s="12">
        <f t="shared" si="5"/>
        <v>1222584.1940410538</v>
      </c>
      <c r="BI20" s="12">
        <f t="shared" si="5"/>
        <v>1338705.2282587315</v>
      </c>
    </row>
    <row r="22" spans="1:61" ht="15" customHeight="1" x14ac:dyDescent="0.35">
      <c r="A22" s="5" t="s">
        <v>318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</row>
    <row r="23" spans="1:61" ht="15" customHeight="1" x14ac:dyDescent="0.35">
      <c r="A23" s="7" t="s">
        <v>319</v>
      </c>
      <c r="B23" s="9">
        <f>'P&amp;L'!B40</f>
        <v>-8409.619999999999</v>
      </c>
      <c r="C23" s="9">
        <f>B23+'P&amp;L'!C40</f>
        <v>530.69499999999971</v>
      </c>
      <c r="D23" s="9">
        <f>C23+'P&amp;L'!D40</f>
        <v>22863.167500000003</v>
      </c>
      <c r="E23" s="9">
        <f>D23+'P&amp;L'!E40</f>
        <v>23039.485000000001</v>
      </c>
      <c r="F23" s="9">
        <f>E23+'P&amp;L'!F40</f>
        <v>31849.457500000004</v>
      </c>
      <c r="G23" s="9">
        <f>F23+'P&amp;L'!G40</f>
        <v>33264.22</v>
      </c>
      <c r="H23" s="9">
        <f>G23+'P&amp;L'!H40</f>
        <v>33780.017500000002</v>
      </c>
      <c r="I23" s="9">
        <f>H23+'P&amp;L'!I40</f>
        <v>99247.172500000001</v>
      </c>
      <c r="J23" s="9">
        <f>I23+'P&amp;L'!J40</f>
        <v>121159.1725</v>
      </c>
      <c r="K23" s="9">
        <f>J23+'P&amp;L'!K40</f>
        <v>78975.012499999997</v>
      </c>
      <c r="L23" s="9">
        <f>K23+'P&amp;L'!L40</f>
        <v>55310.852499999994</v>
      </c>
      <c r="M23" s="9">
        <f>L23+'P&amp;L'!M40</f>
        <v>74726.912499999991</v>
      </c>
      <c r="N23" s="9">
        <f>M23+'P&amp;L'!N40</f>
        <v>55352.412499999991</v>
      </c>
      <c r="O23" s="9">
        <f>N23+'P&amp;L'!O40</f>
        <v>51194.047500000001</v>
      </c>
      <c r="P23" s="9">
        <f>O23+'P&amp;L'!P40</f>
        <v>89316.764062499977</v>
      </c>
      <c r="Q23" s="9">
        <f>P23+'P&amp;L'!Q40</f>
        <v>108240.34945312497</v>
      </c>
      <c r="R23" s="9">
        <f>Q23+'P&amp;L'!R40</f>
        <v>138025.90311328124</v>
      </c>
      <c r="S23" s="9">
        <f>R23+'P&amp;L'!S40</f>
        <v>208791.1714564453</v>
      </c>
      <c r="T23" s="9">
        <f>S23+'P&amp;L'!T40</f>
        <v>260324.50821676757</v>
      </c>
      <c r="U23" s="9">
        <f>T23+'P&amp;L'!U40</f>
        <v>322679.46881510597</v>
      </c>
      <c r="V23" s="9">
        <f>U23+'P&amp;L'!V40</f>
        <v>426261.07844336127</v>
      </c>
      <c r="W23" s="9">
        <f>V23+'P&amp;L'!W40</f>
        <v>510849.37355302932</v>
      </c>
      <c r="X23" s="9">
        <f>W23+'P&amp;L'!X40</f>
        <v>606843.4164181808</v>
      </c>
      <c r="Y23" s="9">
        <f>X23+'P&amp;L'!Y40</f>
        <v>744698.10242658982</v>
      </c>
      <c r="Z23" s="9">
        <f>Y23+'P&amp;L'!Z40</f>
        <v>824970.04473541933</v>
      </c>
      <c r="AA23" s="9">
        <f>Z23+'P&amp;L'!AA40</f>
        <v>917498.1509096903</v>
      </c>
      <c r="AB23" s="9">
        <f>AA23+'P&amp;L'!AB40</f>
        <v>1062959.8211426749</v>
      </c>
      <c r="AC23" s="9">
        <f>AB23+'P&amp;L'!AC40</f>
        <v>1181297.5176373087</v>
      </c>
      <c r="AD23" s="9">
        <f>AC23+'P&amp;L'!AD40</f>
        <v>1313239.6897066741</v>
      </c>
      <c r="AE23" s="9">
        <f>AD23+'P&amp;L'!AE40</f>
        <v>1499569.5291295077</v>
      </c>
      <c r="AF23" s="9">
        <f>AE23+'P&amp;L'!AF40</f>
        <v>1660334.6752734832</v>
      </c>
      <c r="AG23" s="9">
        <f>AF23+'P&amp;L'!AG40</f>
        <v>1836427.1494746571</v>
      </c>
      <c r="AH23" s="9">
        <f>AG23+'P&amp;L'!AH40</f>
        <v>2068674.9581358898</v>
      </c>
      <c r="AI23" s="9">
        <f>AH23+'P&amp;L'!AI40</f>
        <v>2277346.9639801844</v>
      </c>
      <c r="AJ23" s="9">
        <f>AI23+'P&amp;L'!AJ40</f>
        <v>2503319.5048666936</v>
      </c>
      <c r="AK23" s="9">
        <f>AJ23+'P&amp;L'!AK40</f>
        <v>2787640.2795475284</v>
      </c>
      <c r="AL23" s="9">
        <f>AK23+'P&amp;L'!AL40</f>
        <v>2965778.4709624047</v>
      </c>
      <c r="AM23" s="9">
        <f>AL23+'P&amp;L'!AM40</f>
        <v>3164624.9301355248</v>
      </c>
      <c r="AN23" s="9">
        <f>AM23+'P&amp;L'!AN40</f>
        <v>3435382.3724548011</v>
      </c>
      <c r="AO23" s="9">
        <f>AN23+'P&amp;L'!AO40</f>
        <v>3678402.0130775413</v>
      </c>
      <c r="AP23" s="9">
        <f>AO23+'P&amp;L'!AP40</f>
        <v>3944994.7969189184</v>
      </c>
      <c r="AQ23" s="9">
        <f>AP23+'P&amp;L'!AQ40</f>
        <v>4286577.5311398646</v>
      </c>
      <c r="AR23" s="9">
        <f>AQ23+'P&amp;L'!AR40</f>
        <v>4603773.4592593573</v>
      </c>
      <c r="AS23" s="9">
        <f>AR23+'P&amp;L'!AS40</f>
        <v>4948046.3159723254</v>
      </c>
      <c r="AT23" s="9">
        <f>AS23+'P&amp;L'!AT40</f>
        <v>5370905.4417084418</v>
      </c>
      <c r="AU23" s="9">
        <f>AT23+'P&amp;L'!AU40</f>
        <v>5773183.4159188634</v>
      </c>
      <c r="AV23" s="9">
        <f>AU23+'P&amp;L'!AV40</f>
        <v>6206611.0080273068</v>
      </c>
      <c r="AW23" s="9">
        <f>AV23+'P&amp;L'!AW40</f>
        <v>6722845.1049286723</v>
      </c>
      <c r="AX23" s="9">
        <f>AW23+'P&amp;L'!AX40</f>
        <v>7072435.8516751062</v>
      </c>
      <c r="AY23" s="9">
        <f>AX23+'P&amp;L'!AY40</f>
        <v>7458025.0075557362</v>
      </c>
      <c r="AZ23" s="9">
        <f>AY23+'P&amp;L'!AZ40</f>
        <v>7941527.3844022732</v>
      </c>
      <c r="BA23" s="9">
        <f>AZ23+'P&amp;L'!BA40</f>
        <v>8404191.4626380112</v>
      </c>
      <c r="BB23" s="9">
        <f>BA23+'P&amp;L'!BB40</f>
        <v>8908205.9827074111</v>
      </c>
      <c r="BC23" s="9">
        <f>BB23+'P&amp;L'!BC40</f>
        <v>9516032.0250771567</v>
      </c>
      <c r="BD23" s="9">
        <f>BC23+'P&amp;L'!BD40</f>
        <v>10108994.537237264</v>
      </c>
      <c r="BE23" s="9">
        <f>BD23+'P&amp;L'!BE40</f>
        <v>10749647.346052252</v>
      </c>
      <c r="BF23" s="9">
        <f>BE23+'P&amp;L'!BF40</f>
        <v>11500650.813729864</v>
      </c>
      <c r="BG23" s="9">
        <f>BF23+'P&amp;L'!BG40</f>
        <v>12243808.575588232</v>
      </c>
      <c r="BH23" s="9">
        <f>BG23+'P&amp;L'!BH40</f>
        <v>13042037.157711394</v>
      </c>
      <c r="BI23" s="9">
        <f>BH23+'P&amp;L'!BI40</f>
        <v>13958352.592487589</v>
      </c>
    </row>
    <row r="24" spans="1:61" ht="15" customHeight="1" x14ac:dyDescent="0.35">
      <c r="A24" s="7" t="s">
        <v>320</v>
      </c>
      <c r="B24" s="38">
        <f>'Drivers &amp; Assumptions'!C60</f>
        <v>100000</v>
      </c>
      <c r="C24" s="38">
        <f>'Drivers &amp; Assumptions'!C60</f>
        <v>100000</v>
      </c>
      <c r="D24" s="38">
        <f>'Drivers &amp; Assumptions'!C60</f>
        <v>100000</v>
      </c>
      <c r="E24" s="38">
        <f>'Drivers &amp; Assumptions'!C60</f>
        <v>100000</v>
      </c>
      <c r="F24" s="38">
        <f>'Drivers &amp; Assumptions'!C60</f>
        <v>100000</v>
      </c>
      <c r="G24" s="38">
        <f>'Drivers &amp; Assumptions'!C60</f>
        <v>100000</v>
      </c>
      <c r="H24" s="38">
        <f>'Drivers &amp; Assumptions'!C60</f>
        <v>100000</v>
      </c>
      <c r="I24" s="38">
        <f>'Drivers &amp; Assumptions'!C60</f>
        <v>100000</v>
      </c>
      <c r="J24" s="38">
        <f>'Drivers &amp; Assumptions'!C60</f>
        <v>100000</v>
      </c>
      <c r="K24" s="38">
        <f>'Drivers &amp; Assumptions'!C60</f>
        <v>100000</v>
      </c>
      <c r="L24" s="38">
        <f>'Drivers &amp; Assumptions'!C60</f>
        <v>100000</v>
      </c>
      <c r="M24" s="38">
        <f>'Drivers &amp; Assumptions'!C60</f>
        <v>100000</v>
      </c>
      <c r="N24" s="38">
        <f>'Drivers &amp; Assumptions'!C60</f>
        <v>100000</v>
      </c>
      <c r="O24" s="38">
        <f>'Drivers &amp; Assumptions'!C60</f>
        <v>100000</v>
      </c>
      <c r="P24" s="38">
        <f>'Drivers &amp; Assumptions'!C60</f>
        <v>100000</v>
      </c>
      <c r="Q24" s="38">
        <f>'Drivers &amp; Assumptions'!C60</f>
        <v>100000</v>
      </c>
      <c r="R24" s="38">
        <f>'Drivers &amp; Assumptions'!C60</f>
        <v>100000</v>
      </c>
      <c r="S24" s="38">
        <f>'Drivers &amp; Assumptions'!C60</f>
        <v>100000</v>
      </c>
      <c r="T24" s="38">
        <f>'Drivers &amp; Assumptions'!C60</f>
        <v>100000</v>
      </c>
      <c r="U24" s="38">
        <f>'Drivers &amp; Assumptions'!C60</f>
        <v>100000</v>
      </c>
      <c r="V24" s="38">
        <f>'Drivers &amp; Assumptions'!C60</f>
        <v>100000</v>
      </c>
      <c r="W24" s="38">
        <f>'Drivers &amp; Assumptions'!C60</f>
        <v>100000</v>
      </c>
      <c r="X24" s="38">
        <f>'Drivers &amp; Assumptions'!C60</f>
        <v>100000</v>
      </c>
      <c r="Y24" s="38">
        <f>'Drivers &amp; Assumptions'!C60</f>
        <v>100000</v>
      </c>
      <c r="Z24" s="38">
        <f>'Drivers &amp; Assumptions'!C60</f>
        <v>100000</v>
      </c>
      <c r="AA24" s="38">
        <f>'Drivers &amp; Assumptions'!C60</f>
        <v>100000</v>
      </c>
      <c r="AB24" s="38">
        <f>'Drivers &amp; Assumptions'!C60</f>
        <v>100000</v>
      </c>
      <c r="AC24" s="38">
        <f>'Drivers &amp; Assumptions'!C60</f>
        <v>100000</v>
      </c>
      <c r="AD24" s="38">
        <f>'Drivers &amp; Assumptions'!C60</f>
        <v>100000</v>
      </c>
      <c r="AE24" s="38">
        <f>'Drivers &amp; Assumptions'!C60</f>
        <v>100000</v>
      </c>
      <c r="AF24" s="38">
        <f>'Drivers &amp; Assumptions'!C60</f>
        <v>100000</v>
      </c>
      <c r="AG24" s="38">
        <f>'Drivers &amp; Assumptions'!C60</f>
        <v>100000</v>
      </c>
      <c r="AH24" s="38">
        <f>'Drivers &amp; Assumptions'!C60</f>
        <v>100000</v>
      </c>
      <c r="AI24" s="38">
        <f>'Drivers &amp; Assumptions'!C60</f>
        <v>100000</v>
      </c>
      <c r="AJ24" s="38">
        <f>'Drivers &amp; Assumptions'!C60</f>
        <v>100000</v>
      </c>
      <c r="AK24" s="38">
        <f>'Drivers &amp; Assumptions'!C60</f>
        <v>100000</v>
      </c>
      <c r="AL24" s="38">
        <f>'Drivers &amp; Assumptions'!C60</f>
        <v>100000</v>
      </c>
      <c r="AM24" s="38">
        <f>'Drivers &amp; Assumptions'!C60</f>
        <v>100000</v>
      </c>
      <c r="AN24" s="38">
        <f>'Drivers &amp; Assumptions'!C60</f>
        <v>100000</v>
      </c>
      <c r="AO24" s="38">
        <f>'Drivers &amp; Assumptions'!C60</f>
        <v>100000</v>
      </c>
      <c r="AP24" s="38">
        <f>'Drivers &amp; Assumptions'!C60</f>
        <v>100000</v>
      </c>
      <c r="AQ24" s="38">
        <f>'Drivers &amp; Assumptions'!C60</f>
        <v>100000</v>
      </c>
      <c r="AR24" s="38">
        <f>'Drivers &amp; Assumptions'!C60</f>
        <v>100000</v>
      </c>
      <c r="AS24" s="38">
        <f>'Drivers &amp; Assumptions'!C60</f>
        <v>100000</v>
      </c>
      <c r="AT24" s="38">
        <f>'Drivers &amp; Assumptions'!C60</f>
        <v>100000</v>
      </c>
      <c r="AU24" s="38">
        <f>'Drivers &amp; Assumptions'!C60</f>
        <v>100000</v>
      </c>
      <c r="AV24" s="38">
        <f>'Drivers &amp; Assumptions'!C60</f>
        <v>100000</v>
      </c>
      <c r="AW24" s="38">
        <f>'Drivers &amp; Assumptions'!C60</f>
        <v>100000</v>
      </c>
      <c r="AX24" s="38">
        <f>'Drivers &amp; Assumptions'!C60</f>
        <v>100000</v>
      </c>
      <c r="AY24" s="38">
        <f>'Drivers &amp; Assumptions'!C60</f>
        <v>100000</v>
      </c>
      <c r="AZ24" s="38">
        <f>'Drivers &amp; Assumptions'!C60</f>
        <v>100000</v>
      </c>
      <c r="BA24" s="38">
        <f>'Drivers &amp; Assumptions'!C60</f>
        <v>100000</v>
      </c>
      <c r="BB24" s="38">
        <f>'Drivers &amp; Assumptions'!C60</f>
        <v>100000</v>
      </c>
      <c r="BC24" s="38">
        <f>'Drivers &amp; Assumptions'!C60</f>
        <v>100000</v>
      </c>
      <c r="BD24" s="38">
        <f>'Drivers &amp; Assumptions'!C60</f>
        <v>100000</v>
      </c>
      <c r="BE24" s="38">
        <f>'Drivers &amp; Assumptions'!C60</f>
        <v>100000</v>
      </c>
      <c r="BF24" s="38">
        <f>'Drivers &amp; Assumptions'!C60</f>
        <v>100000</v>
      </c>
      <c r="BG24" s="38">
        <f>'Drivers &amp; Assumptions'!C60</f>
        <v>100000</v>
      </c>
      <c r="BH24" s="38">
        <f>'Drivers &amp; Assumptions'!C60</f>
        <v>100000</v>
      </c>
      <c r="BI24" s="38">
        <f>'Drivers &amp; Assumptions'!C60</f>
        <v>100000</v>
      </c>
    </row>
    <row r="25" spans="1:61" ht="15" customHeight="1" x14ac:dyDescent="0.35">
      <c r="A25" s="10" t="s">
        <v>321</v>
      </c>
      <c r="B25" s="12">
        <f t="shared" ref="B25:AG25" si="6">B23+B24</f>
        <v>91590.38</v>
      </c>
      <c r="C25" s="12">
        <f t="shared" si="6"/>
        <v>100530.69500000001</v>
      </c>
      <c r="D25" s="12">
        <f t="shared" si="6"/>
        <v>122863.16750000001</v>
      </c>
      <c r="E25" s="12">
        <f t="shared" si="6"/>
        <v>123039.485</v>
      </c>
      <c r="F25" s="12">
        <f t="shared" si="6"/>
        <v>131849.45750000002</v>
      </c>
      <c r="G25" s="12">
        <f t="shared" si="6"/>
        <v>133264.22</v>
      </c>
      <c r="H25" s="12">
        <f t="shared" si="6"/>
        <v>133780.01750000002</v>
      </c>
      <c r="I25" s="12">
        <f t="shared" si="6"/>
        <v>199247.17249999999</v>
      </c>
      <c r="J25" s="12">
        <f t="shared" si="6"/>
        <v>221159.17249999999</v>
      </c>
      <c r="K25" s="12">
        <f t="shared" si="6"/>
        <v>178975.01250000001</v>
      </c>
      <c r="L25" s="12">
        <f t="shared" si="6"/>
        <v>155310.85249999998</v>
      </c>
      <c r="M25" s="12">
        <f t="shared" si="6"/>
        <v>174726.91249999998</v>
      </c>
      <c r="N25" s="12">
        <f t="shared" si="6"/>
        <v>155352.41249999998</v>
      </c>
      <c r="O25" s="12">
        <f t="shared" si="6"/>
        <v>151194.04749999999</v>
      </c>
      <c r="P25" s="12">
        <f t="shared" si="6"/>
        <v>189316.76406249998</v>
      </c>
      <c r="Q25" s="12">
        <f t="shared" si="6"/>
        <v>208240.34945312497</v>
      </c>
      <c r="R25" s="12">
        <f t="shared" si="6"/>
        <v>238025.90311328124</v>
      </c>
      <c r="S25" s="12">
        <f t="shared" si="6"/>
        <v>308791.1714564453</v>
      </c>
      <c r="T25" s="12">
        <f t="shared" si="6"/>
        <v>360324.50821676757</v>
      </c>
      <c r="U25" s="12">
        <f t="shared" si="6"/>
        <v>422679.46881510597</v>
      </c>
      <c r="V25" s="12">
        <f t="shared" si="6"/>
        <v>526261.07844336121</v>
      </c>
      <c r="W25" s="12">
        <f t="shared" si="6"/>
        <v>610849.37355302926</v>
      </c>
      <c r="X25" s="12">
        <f t="shared" si="6"/>
        <v>706843.4164181808</v>
      </c>
      <c r="Y25" s="12">
        <f t="shared" si="6"/>
        <v>844698.10242658982</v>
      </c>
      <c r="Z25" s="12">
        <f t="shared" si="6"/>
        <v>924970.04473541933</v>
      </c>
      <c r="AA25" s="12">
        <f t="shared" si="6"/>
        <v>1017498.1509096903</v>
      </c>
      <c r="AB25" s="12">
        <f t="shared" si="6"/>
        <v>1162959.8211426749</v>
      </c>
      <c r="AC25" s="12">
        <f t="shared" si="6"/>
        <v>1281297.5176373087</v>
      </c>
      <c r="AD25" s="12">
        <f t="shared" si="6"/>
        <v>1413239.6897066741</v>
      </c>
      <c r="AE25" s="12">
        <f t="shared" si="6"/>
        <v>1599569.5291295077</v>
      </c>
      <c r="AF25" s="12">
        <f t="shared" si="6"/>
        <v>1760334.6752734832</v>
      </c>
      <c r="AG25" s="12">
        <f t="shared" si="6"/>
        <v>1936427.1494746571</v>
      </c>
      <c r="AH25" s="12">
        <f t="shared" ref="AH25:BI25" si="7">AH23+AH24</f>
        <v>2168674.9581358898</v>
      </c>
      <c r="AI25" s="12">
        <f t="shared" si="7"/>
        <v>2377346.9639801844</v>
      </c>
      <c r="AJ25" s="12">
        <f t="shared" si="7"/>
        <v>2603319.5048666936</v>
      </c>
      <c r="AK25" s="12">
        <f t="shared" si="7"/>
        <v>2887640.2795475284</v>
      </c>
      <c r="AL25" s="12">
        <f t="shared" si="7"/>
        <v>3065778.4709624047</v>
      </c>
      <c r="AM25" s="12">
        <f t="shared" si="7"/>
        <v>3264624.9301355248</v>
      </c>
      <c r="AN25" s="12">
        <f t="shared" si="7"/>
        <v>3535382.3724548011</v>
      </c>
      <c r="AO25" s="12">
        <f t="shared" si="7"/>
        <v>3778402.0130775413</v>
      </c>
      <c r="AP25" s="12">
        <f t="shared" si="7"/>
        <v>4044994.7969189184</v>
      </c>
      <c r="AQ25" s="12">
        <f t="shared" si="7"/>
        <v>4386577.5311398646</v>
      </c>
      <c r="AR25" s="12">
        <f t="shared" si="7"/>
        <v>4703773.4592593573</v>
      </c>
      <c r="AS25" s="12">
        <f t="shared" si="7"/>
        <v>5048046.3159723254</v>
      </c>
      <c r="AT25" s="12">
        <f t="shared" si="7"/>
        <v>5470905.4417084418</v>
      </c>
      <c r="AU25" s="12">
        <f t="shared" si="7"/>
        <v>5873183.4159188634</v>
      </c>
      <c r="AV25" s="12">
        <f t="shared" si="7"/>
        <v>6306611.0080273068</v>
      </c>
      <c r="AW25" s="12">
        <f t="shared" si="7"/>
        <v>6822845.1049286723</v>
      </c>
      <c r="AX25" s="12">
        <f t="shared" si="7"/>
        <v>7172435.8516751062</v>
      </c>
      <c r="AY25" s="12">
        <f t="shared" si="7"/>
        <v>7558025.0075557362</v>
      </c>
      <c r="AZ25" s="12">
        <f t="shared" si="7"/>
        <v>8041527.3844022732</v>
      </c>
      <c r="BA25" s="12">
        <f t="shared" si="7"/>
        <v>8504191.4626380112</v>
      </c>
      <c r="BB25" s="12">
        <f t="shared" si="7"/>
        <v>9008205.9827074111</v>
      </c>
      <c r="BC25" s="12">
        <f t="shared" si="7"/>
        <v>9616032.0250771567</v>
      </c>
      <c r="BD25" s="12">
        <f t="shared" si="7"/>
        <v>10208994.537237264</v>
      </c>
      <c r="BE25" s="12">
        <f t="shared" si="7"/>
        <v>10849647.346052252</v>
      </c>
      <c r="BF25" s="12">
        <f t="shared" si="7"/>
        <v>11600650.813729864</v>
      </c>
      <c r="BG25" s="12">
        <f t="shared" si="7"/>
        <v>12343808.575588232</v>
      </c>
      <c r="BH25" s="12">
        <f t="shared" si="7"/>
        <v>13142037.157711394</v>
      </c>
      <c r="BI25" s="12">
        <f t="shared" si="7"/>
        <v>14058352.592487589</v>
      </c>
    </row>
    <row r="27" spans="1:61" ht="15" customHeight="1" x14ac:dyDescent="0.35">
      <c r="A27" s="10" t="s">
        <v>322</v>
      </c>
      <c r="B27" s="14">
        <f t="shared" ref="B27:AG27" si="8">B20+B25</f>
        <v>107149.38</v>
      </c>
      <c r="C27" s="14">
        <f t="shared" si="8"/>
        <v>129056.55</v>
      </c>
      <c r="D27" s="14">
        <f t="shared" si="8"/>
        <v>168311.57500000001</v>
      </c>
      <c r="E27" s="14">
        <f t="shared" si="8"/>
        <v>144230.50750000001</v>
      </c>
      <c r="F27" s="14">
        <f t="shared" si="8"/>
        <v>161620.61500000002</v>
      </c>
      <c r="G27" s="14">
        <f t="shared" si="8"/>
        <v>155989.0575</v>
      </c>
      <c r="H27" s="14">
        <f t="shared" si="8"/>
        <v>155857.45000000001</v>
      </c>
      <c r="I27" s="14">
        <f t="shared" si="8"/>
        <v>288187.3075</v>
      </c>
      <c r="J27" s="14">
        <f t="shared" si="8"/>
        <v>253607.17249999999</v>
      </c>
      <c r="K27" s="14">
        <f t="shared" si="8"/>
        <v>194069.51250000001</v>
      </c>
      <c r="L27" s="14">
        <f t="shared" si="8"/>
        <v>186717.85249999998</v>
      </c>
      <c r="M27" s="14">
        <f t="shared" si="8"/>
        <v>233885.4325</v>
      </c>
      <c r="N27" s="14">
        <f t="shared" si="8"/>
        <v>205377.41249999998</v>
      </c>
      <c r="O27" s="14">
        <f t="shared" si="8"/>
        <v>210267.04749999999</v>
      </c>
      <c r="P27" s="14">
        <f t="shared" si="8"/>
        <v>284135.83624999993</v>
      </c>
      <c r="Q27" s="14">
        <f t="shared" si="8"/>
        <v>291238.71124999993</v>
      </c>
      <c r="R27" s="14">
        <f t="shared" si="8"/>
        <v>333388.42099999997</v>
      </c>
      <c r="S27" s="14">
        <f t="shared" si="8"/>
        <v>440765.09423749999</v>
      </c>
      <c r="T27" s="14">
        <f t="shared" si="8"/>
        <v>480553.78713687498</v>
      </c>
      <c r="U27" s="14">
        <f t="shared" si="8"/>
        <v>555346.45568121877</v>
      </c>
      <c r="V27" s="14">
        <f t="shared" si="8"/>
        <v>695926.28165277967</v>
      </c>
      <c r="W27" s="14">
        <f t="shared" si="8"/>
        <v>769153.97192291857</v>
      </c>
      <c r="X27" s="14">
        <f t="shared" si="8"/>
        <v>878345.93070656457</v>
      </c>
      <c r="Y27" s="14">
        <f t="shared" si="8"/>
        <v>1054019.1644293929</v>
      </c>
      <c r="Z27" s="14">
        <f t="shared" si="8"/>
        <v>1110763.3588383626</v>
      </c>
      <c r="AA27" s="14">
        <f t="shared" si="8"/>
        <v>1217555.8529677805</v>
      </c>
      <c r="AB27" s="14">
        <f t="shared" si="8"/>
        <v>1410176.5445536696</v>
      </c>
      <c r="AC27" s="14">
        <f t="shared" si="8"/>
        <v>1511447.4164688531</v>
      </c>
      <c r="AD27" s="14">
        <f t="shared" si="8"/>
        <v>1659277.913729796</v>
      </c>
      <c r="AE27" s="14">
        <f t="shared" si="8"/>
        <v>1894512.9756037856</v>
      </c>
      <c r="AF27" s="14">
        <f t="shared" si="8"/>
        <v>2040079.5573214749</v>
      </c>
      <c r="AG27" s="14">
        <f t="shared" si="8"/>
        <v>2234113.6408750485</v>
      </c>
      <c r="AH27" s="14">
        <f t="shared" ref="AH27:BI27" si="9">AH20+AH25</f>
        <v>2517378.3943563006</v>
      </c>
      <c r="AI27" s="14">
        <f t="shared" si="9"/>
        <v>2713211.2992616161</v>
      </c>
      <c r="AJ27" s="14">
        <f t="shared" si="9"/>
        <v>2959479.6851621969</v>
      </c>
      <c r="AK27" s="14">
        <f t="shared" si="9"/>
        <v>3297418.8711078065</v>
      </c>
      <c r="AL27" s="14">
        <f t="shared" si="9"/>
        <v>3438735.8681006967</v>
      </c>
      <c r="AM27" s="14">
        <f t="shared" si="9"/>
        <v>3661585.0831932314</v>
      </c>
      <c r="AN27" s="14">
        <f t="shared" si="9"/>
        <v>3997875.8532278934</v>
      </c>
      <c r="AO27" s="14">
        <f t="shared" si="9"/>
        <v>4226641.5599517878</v>
      </c>
      <c r="AP27" s="14">
        <f t="shared" si="9"/>
        <v>4520628.0581993777</v>
      </c>
      <c r="AQ27" s="14">
        <f t="shared" si="9"/>
        <v>4931380.4425468463</v>
      </c>
      <c r="AR27" s="14">
        <f t="shared" si="9"/>
        <v>5238266.9352991879</v>
      </c>
      <c r="AS27" s="14">
        <f t="shared" si="9"/>
        <v>5614059.4348766478</v>
      </c>
      <c r="AT27" s="14">
        <f t="shared" si="9"/>
        <v>6110331.9836204806</v>
      </c>
      <c r="AU27" s="14">
        <f t="shared" si="9"/>
        <v>6506788.0739890039</v>
      </c>
      <c r="AV27" s="14">
        <f t="shared" si="9"/>
        <v>6976529.3720634542</v>
      </c>
      <c r="AW27" s="14">
        <f t="shared" si="9"/>
        <v>7571150.6372291278</v>
      </c>
      <c r="AX27" s="14">
        <f t="shared" si="9"/>
        <v>7870765.1005905839</v>
      </c>
      <c r="AY27" s="14">
        <f t="shared" si="9"/>
        <v>8298339.4761826126</v>
      </c>
      <c r="AZ27" s="14">
        <f t="shared" si="9"/>
        <v>8874229.8433511183</v>
      </c>
      <c r="BA27" s="14">
        <f t="shared" si="9"/>
        <v>9334475.5720499232</v>
      </c>
      <c r="BB27" s="14">
        <f t="shared" si="9"/>
        <v>9886777.322730545</v>
      </c>
      <c r="BC27" s="14">
        <f t="shared" si="9"/>
        <v>10593916.455867073</v>
      </c>
      <c r="BD27" s="14">
        <f t="shared" si="9"/>
        <v>11191498.207957299</v>
      </c>
      <c r="BE27" s="14">
        <f t="shared" si="9"/>
        <v>11887908.032323914</v>
      </c>
      <c r="BF27" s="14">
        <f t="shared" si="9"/>
        <v>12745922.802955735</v>
      </c>
      <c r="BG27" s="14">
        <f t="shared" si="9"/>
        <v>13501955.079541022</v>
      </c>
      <c r="BH27" s="14">
        <f t="shared" si="9"/>
        <v>14364621.351752449</v>
      </c>
      <c r="BI27" s="14">
        <f t="shared" si="9"/>
        <v>15397057.820746319</v>
      </c>
    </row>
    <row r="29" spans="1:61" ht="15" customHeight="1" x14ac:dyDescent="0.35">
      <c r="A29" s="39" t="s">
        <v>323</v>
      </c>
      <c r="B29" s="40">
        <f t="shared" ref="B29:AG29" si="10">B15-B27</f>
        <v>0</v>
      </c>
      <c r="C29" s="40">
        <f t="shared" si="10"/>
        <v>0</v>
      </c>
      <c r="D29" s="40">
        <f t="shared" si="10"/>
        <v>0</v>
      </c>
      <c r="E29" s="40">
        <f t="shared" si="10"/>
        <v>0</v>
      </c>
      <c r="F29" s="40">
        <f t="shared" si="10"/>
        <v>0</v>
      </c>
      <c r="G29" s="40">
        <f t="shared" si="10"/>
        <v>0</v>
      </c>
      <c r="H29" s="40">
        <f t="shared" si="10"/>
        <v>0</v>
      </c>
      <c r="I29" s="40">
        <f t="shared" si="10"/>
        <v>0</v>
      </c>
      <c r="J29" s="40">
        <f t="shared" si="10"/>
        <v>0</v>
      </c>
      <c r="K29" s="40">
        <f t="shared" si="10"/>
        <v>0</v>
      </c>
      <c r="L29" s="40">
        <f t="shared" si="10"/>
        <v>0</v>
      </c>
      <c r="M29" s="40">
        <f t="shared" si="10"/>
        <v>0</v>
      </c>
      <c r="N29" s="40">
        <f t="shared" si="10"/>
        <v>0</v>
      </c>
      <c r="O29" s="40">
        <f t="shared" si="10"/>
        <v>0</v>
      </c>
      <c r="P29" s="40">
        <f t="shared" si="10"/>
        <v>0</v>
      </c>
      <c r="Q29" s="40">
        <f t="shared" si="10"/>
        <v>0</v>
      </c>
      <c r="R29" s="40">
        <f t="shared" si="10"/>
        <v>0</v>
      </c>
      <c r="S29" s="40">
        <f t="shared" si="10"/>
        <v>0</v>
      </c>
      <c r="T29" s="40">
        <f t="shared" si="10"/>
        <v>0</v>
      </c>
      <c r="U29" s="40">
        <f t="shared" si="10"/>
        <v>0</v>
      </c>
      <c r="V29" s="40">
        <f t="shared" si="10"/>
        <v>0</v>
      </c>
      <c r="W29" s="40">
        <f t="shared" si="10"/>
        <v>0</v>
      </c>
      <c r="X29" s="40">
        <f t="shared" si="10"/>
        <v>0</v>
      </c>
      <c r="Y29" s="40">
        <f t="shared" si="10"/>
        <v>0</v>
      </c>
      <c r="Z29" s="40">
        <f t="shared" si="10"/>
        <v>0</v>
      </c>
      <c r="AA29" s="40">
        <f t="shared" si="10"/>
        <v>0</v>
      </c>
      <c r="AB29" s="40">
        <f t="shared" si="10"/>
        <v>0</v>
      </c>
      <c r="AC29" s="40">
        <f t="shared" si="10"/>
        <v>0</v>
      </c>
      <c r="AD29" s="40">
        <f t="shared" si="10"/>
        <v>0</v>
      </c>
      <c r="AE29" s="40">
        <f t="shared" si="10"/>
        <v>0</v>
      </c>
      <c r="AF29" s="40">
        <f t="shared" si="10"/>
        <v>0</v>
      </c>
      <c r="AG29" s="40">
        <f t="shared" si="10"/>
        <v>0</v>
      </c>
      <c r="AH29" s="40">
        <f t="shared" ref="AH29:BI29" si="11">AH15-AH27</f>
        <v>0</v>
      </c>
      <c r="AI29" s="40">
        <f t="shared" si="11"/>
        <v>0</v>
      </c>
      <c r="AJ29" s="40">
        <f t="shared" si="11"/>
        <v>0</v>
      </c>
      <c r="AK29" s="40">
        <f t="shared" si="11"/>
        <v>0</v>
      </c>
      <c r="AL29" s="40">
        <f t="shared" si="11"/>
        <v>0</v>
      </c>
      <c r="AM29" s="40">
        <f t="shared" si="11"/>
        <v>0</v>
      </c>
      <c r="AN29" s="40">
        <f t="shared" si="11"/>
        <v>0</v>
      </c>
      <c r="AO29" s="40">
        <f t="shared" si="11"/>
        <v>0</v>
      </c>
      <c r="AP29" s="40">
        <f t="shared" si="11"/>
        <v>0</v>
      </c>
      <c r="AQ29" s="40">
        <f t="shared" si="11"/>
        <v>0</v>
      </c>
      <c r="AR29" s="40">
        <f t="shared" si="11"/>
        <v>0</v>
      </c>
      <c r="AS29" s="40">
        <f t="shared" si="11"/>
        <v>0</v>
      </c>
      <c r="AT29" s="40">
        <f t="shared" si="11"/>
        <v>0</v>
      </c>
      <c r="AU29" s="40">
        <f t="shared" si="11"/>
        <v>0</v>
      </c>
      <c r="AV29" s="40">
        <f t="shared" si="11"/>
        <v>0</v>
      </c>
      <c r="AW29" s="40">
        <f t="shared" si="11"/>
        <v>0</v>
      </c>
      <c r="AX29" s="40">
        <f t="shared" si="11"/>
        <v>0</v>
      </c>
      <c r="AY29" s="40">
        <f t="shared" si="11"/>
        <v>0</v>
      </c>
      <c r="AZ29" s="40">
        <f t="shared" si="11"/>
        <v>0</v>
      </c>
      <c r="BA29" s="40">
        <f t="shared" si="11"/>
        <v>0</v>
      </c>
      <c r="BB29" s="40">
        <f t="shared" si="11"/>
        <v>0</v>
      </c>
      <c r="BC29" s="40">
        <f t="shared" si="11"/>
        <v>0</v>
      </c>
      <c r="BD29" s="40">
        <f t="shared" si="11"/>
        <v>0</v>
      </c>
      <c r="BE29" s="40">
        <f t="shared" si="11"/>
        <v>0</v>
      </c>
      <c r="BF29" s="40">
        <f t="shared" si="11"/>
        <v>0</v>
      </c>
      <c r="BG29" s="40">
        <f t="shared" si="11"/>
        <v>0</v>
      </c>
      <c r="BH29" s="40">
        <f t="shared" si="11"/>
        <v>0</v>
      </c>
      <c r="BI29" s="40">
        <f t="shared" si="11"/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C000"/>
  </sheetPr>
  <dimension ref="A1:BI30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12" sqref="B12"/>
    </sheetView>
  </sheetViews>
  <sheetFormatPr defaultColWidth="8.6328125" defaultRowHeight="14.5" x14ac:dyDescent="0.35"/>
  <cols>
    <col min="1" max="1" width="42" customWidth="1"/>
    <col min="2" max="61" width="14" customWidth="1"/>
  </cols>
  <sheetData>
    <row r="1" spans="1:61" ht="17.25" customHeight="1" x14ac:dyDescent="0.4">
      <c r="A1" s="1" t="s">
        <v>324</v>
      </c>
    </row>
    <row r="2" spans="1:61" ht="15" customHeight="1" x14ac:dyDescent="0.35">
      <c r="A2" s="2" t="s">
        <v>305</v>
      </c>
    </row>
    <row r="4" spans="1:61" ht="15" customHeight="1" x14ac:dyDescent="0.35">
      <c r="A4" s="19"/>
      <c r="B4" s="25" t="s">
        <v>147</v>
      </c>
      <c r="C4" s="25" t="s">
        <v>148</v>
      </c>
      <c r="D4" s="25" t="s">
        <v>149</v>
      </c>
      <c r="E4" s="25" t="s">
        <v>150</v>
      </c>
      <c r="F4" s="25" t="s">
        <v>151</v>
      </c>
      <c r="G4" s="25" t="s">
        <v>152</v>
      </c>
      <c r="H4" s="25" t="s">
        <v>153</v>
      </c>
      <c r="I4" s="25" t="s">
        <v>154</v>
      </c>
      <c r="J4" s="19" t="s">
        <v>155</v>
      </c>
      <c r="K4" s="19" t="s">
        <v>156</v>
      </c>
      <c r="L4" s="19" t="s">
        <v>157</v>
      </c>
      <c r="M4" s="19" t="s">
        <v>158</v>
      </c>
      <c r="N4" s="19" t="s">
        <v>159</v>
      </c>
      <c r="O4" s="19" t="s">
        <v>160</v>
      </c>
      <c r="P4" s="19" t="s">
        <v>161</v>
      </c>
      <c r="Q4" s="19" t="s">
        <v>162</v>
      </c>
      <c r="R4" s="19" t="s">
        <v>163</v>
      </c>
      <c r="S4" s="19" t="s">
        <v>164</v>
      </c>
      <c r="T4" s="19" t="s">
        <v>165</v>
      </c>
      <c r="U4" s="19" t="s">
        <v>166</v>
      </c>
      <c r="V4" s="19" t="s">
        <v>167</v>
      </c>
      <c r="W4" s="19" t="s">
        <v>168</v>
      </c>
      <c r="X4" s="19" t="s">
        <v>169</v>
      </c>
      <c r="Y4" s="19" t="s">
        <v>170</v>
      </c>
      <c r="Z4" s="19" t="s">
        <v>171</v>
      </c>
      <c r="AA4" s="19" t="s">
        <v>172</v>
      </c>
      <c r="AB4" s="19" t="s">
        <v>173</v>
      </c>
      <c r="AC4" s="19" t="s">
        <v>174</v>
      </c>
      <c r="AD4" s="19" t="s">
        <v>175</v>
      </c>
      <c r="AE4" s="19" t="s">
        <v>176</v>
      </c>
      <c r="AF4" s="19" t="s">
        <v>177</v>
      </c>
      <c r="AG4" s="19" t="s">
        <v>178</v>
      </c>
      <c r="AH4" s="19" t="s">
        <v>179</v>
      </c>
      <c r="AI4" s="19" t="s">
        <v>180</v>
      </c>
      <c r="AJ4" s="19" t="s">
        <v>181</v>
      </c>
      <c r="AK4" s="19" t="s">
        <v>182</v>
      </c>
      <c r="AL4" s="19" t="s">
        <v>183</v>
      </c>
      <c r="AM4" s="19" t="s">
        <v>184</v>
      </c>
      <c r="AN4" s="19" t="s">
        <v>185</v>
      </c>
      <c r="AO4" s="19" t="s">
        <v>186</v>
      </c>
      <c r="AP4" s="19" t="s">
        <v>187</v>
      </c>
      <c r="AQ4" s="19" t="s">
        <v>188</v>
      </c>
      <c r="AR4" s="19" t="s">
        <v>189</v>
      </c>
      <c r="AS4" s="19" t="s">
        <v>190</v>
      </c>
      <c r="AT4" s="19" t="s">
        <v>191</v>
      </c>
      <c r="AU4" s="19" t="s">
        <v>192</v>
      </c>
      <c r="AV4" s="19" t="s">
        <v>193</v>
      </c>
      <c r="AW4" s="19" t="s">
        <v>194</v>
      </c>
      <c r="AX4" s="19" t="s">
        <v>195</v>
      </c>
      <c r="AY4" s="19" t="s">
        <v>196</v>
      </c>
      <c r="AZ4" s="19" t="s">
        <v>197</v>
      </c>
      <c r="BA4" s="19" t="s">
        <v>198</v>
      </c>
      <c r="BB4" s="19" t="s">
        <v>199</v>
      </c>
      <c r="BC4" s="19" t="s">
        <v>200</v>
      </c>
      <c r="BD4" s="19" t="s">
        <v>201</v>
      </c>
      <c r="BE4" s="19" t="s">
        <v>202</v>
      </c>
      <c r="BF4" s="19" t="s">
        <v>203</v>
      </c>
      <c r="BG4" s="19" t="s">
        <v>204</v>
      </c>
      <c r="BH4" s="19" t="s">
        <v>205</v>
      </c>
      <c r="BI4" s="19" t="s">
        <v>206</v>
      </c>
    </row>
    <row r="6" spans="1:61" ht="15" customHeight="1" x14ac:dyDescent="0.35">
      <c r="A6" s="5" t="s">
        <v>325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</row>
    <row r="7" spans="1:61" ht="15" customHeight="1" x14ac:dyDescent="0.35">
      <c r="A7" s="7" t="s">
        <v>326</v>
      </c>
      <c r="B7" s="8">
        <f>'P&amp;L'!B40</f>
        <v>-8409.619999999999</v>
      </c>
      <c r="C7" s="8">
        <f>'P&amp;L'!C40</f>
        <v>8940.3149999999987</v>
      </c>
      <c r="D7" s="8">
        <f>'P&amp;L'!D40</f>
        <v>22332.472500000003</v>
      </c>
      <c r="E7" s="8">
        <f>'P&amp;L'!E40</f>
        <v>176.31749999999738</v>
      </c>
      <c r="F7" s="8">
        <f>'P&amp;L'!F40</f>
        <v>8809.9725000000035</v>
      </c>
      <c r="G7" s="8">
        <f>'P&amp;L'!G40</f>
        <v>1414.7624999999989</v>
      </c>
      <c r="H7" s="8">
        <f>'P&amp;L'!H40</f>
        <v>515.79749999999694</v>
      </c>
      <c r="I7" s="8">
        <f>'P&amp;L'!I40</f>
        <v>65467.154999999999</v>
      </c>
      <c r="J7" s="8">
        <f>'P&amp;L'!J40</f>
        <v>21912</v>
      </c>
      <c r="K7" s="8">
        <f>'P&amp;L'!K40</f>
        <v>-42184.160000000003</v>
      </c>
      <c r="L7" s="8">
        <f>'P&amp;L'!L40</f>
        <v>-23664.160000000003</v>
      </c>
      <c r="M7" s="8">
        <f>'P&amp;L'!M40</f>
        <v>19416.060000000001</v>
      </c>
      <c r="N7" s="8">
        <f>'P&amp;L'!N40</f>
        <v>-19374.5</v>
      </c>
      <c r="O7" s="8">
        <f>'P&amp;L'!O40</f>
        <v>-4158.3649999999907</v>
      </c>
      <c r="P7" s="8">
        <f>'P&amp;L'!P40</f>
        <v>38122.716562499983</v>
      </c>
      <c r="Q7" s="8">
        <f>'P&amp;L'!Q40</f>
        <v>18923.58539062499</v>
      </c>
      <c r="R7" s="8">
        <f>'P&amp;L'!R40</f>
        <v>29785.55366015626</v>
      </c>
      <c r="S7" s="8">
        <f>'P&amp;L'!S40</f>
        <v>70765.268343164047</v>
      </c>
      <c r="T7" s="8">
        <f>'P&amp;L'!T40</f>
        <v>51533.336760322258</v>
      </c>
      <c r="U7" s="8">
        <f>'P&amp;L'!U40</f>
        <v>62354.960598338374</v>
      </c>
      <c r="V7" s="8">
        <f>'P&amp;L'!V40</f>
        <v>103581.6096282553</v>
      </c>
      <c r="W7" s="8">
        <f>'P&amp;L'!W40</f>
        <v>84588.295109668048</v>
      </c>
      <c r="X7" s="8">
        <f>'P&amp;L'!X40</f>
        <v>95994.042865151452</v>
      </c>
      <c r="Y7" s="8">
        <f>'P&amp;L'!Y40</f>
        <v>137854.68600840901</v>
      </c>
      <c r="Z7" s="8">
        <f>'P&amp;L'!Z40</f>
        <v>80271.942308829472</v>
      </c>
      <c r="AA7" s="8">
        <f>'P&amp;L'!AA40</f>
        <v>92528.106174270943</v>
      </c>
      <c r="AB7" s="8">
        <f>'P&amp;L'!AB40</f>
        <v>145461.6702329845</v>
      </c>
      <c r="AC7" s="8">
        <f>'P&amp;L'!AC40</f>
        <v>118337.69649463371</v>
      </c>
      <c r="AD7" s="8">
        <f>'P&amp;L'!AD40</f>
        <v>131942.17206936539</v>
      </c>
      <c r="AE7" s="8">
        <f>'P&amp;L'!AE40</f>
        <v>186329.83942283367</v>
      </c>
      <c r="AF7" s="8">
        <f>'P&amp;L'!AF40</f>
        <v>160765.14614397538</v>
      </c>
      <c r="AG7" s="8">
        <f>'P&amp;L'!AG40</f>
        <v>176092.4742011741</v>
      </c>
      <c r="AH7" s="8">
        <f>'P&amp;L'!AH40</f>
        <v>232247.80866123282</v>
      </c>
      <c r="AI7" s="8">
        <f>'P&amp;L'!AI40</f>
        <v>208672.0058442945</v>
      </c>
      <c r="AJ7" s="8">
        <f>'P&amp;L'!AJ40</f>
        <v>225972.54088650917</v>
      </c>
      <c r="AK7" s="8">
        <f>'P&amp;L'!AK40</f>
        <v>284320.77468083473</v>
      </c>
      <c r="AL7" s="8">
        <f>'P&amp;L'!AL40</f>
        <v>178138.19141487643</v>
      </c>
      <c r="AM7" s="8">
        <f>'P&amp;L'!AM40</f>
        <v>198846.45917312024</v>
      </c>
      <c r="AN7" s="8">
        <f>'P&amp;L'!AN40</f>
        <v>270757.44231927622</v>
      </c>
      <c r="AO7" s="8">
        <f>'P&amp;L'!AO40</f>
        <v>243019.64062273994</v>
      </c>
      <c r="AP7" s="8">
        <f>'P&amp;L'!AP40</f>
        <v>266592.78384137701</v>
      </c>
      <c r="AQ7" s="8">
        <f>'P&amp;L'!AQ40</f>
        <v>341582.73422094586</v>
      </c>
      <c r="AR7" s="8">
        <f>'P&amp;L'!AR40</f>
        <v>317195.92811949318</v>
      </c>
      <c r="AS7" s="8">
        <f>'P&amp;L'!AS40</f>
        <v>344272.85671296786</v>
      </c>
      <c r="AT7" s="8">
        <f>'P&amp;L'!AT40</f>
        <v>422859.1257361162</v>
      </c>
      <c r="AU7" s="8">
        <f>'P&amp;L'!AU40</f>
        <v>402277.9742104219</v>
      </c>
      <c r="AV7" s="8">
        <f>'P&amp;L'!AV40</f>
        <v>433427.59210844303</v>
      </c>
      <c r="AW7" s="8">
        <f>'P&amp;L'!AW40</f>
        <v>516234.09690136526</v>
      </c>
      <c r="AX7" s="8">
        <f>'P&amp;L'!AX40</f>
        <v>349590.74674643343</v>
      </c>
      <c r="AY7" s="8">
        <f>'P&amp;L'!AY40</f>
        <v>385589.15588063025</v>
      </c>
      <c r="AZ7" s="8">
        <f>'P&amp;L'!AZ40</f>
        <v>483502.37684653664</v>
      </c>
      <c r="BA7" s="8">
        <f>'P&amp;L'!BA40</f>
        <v>462664.07823573845</v>
      </c>
      <c r="BB7" s="8">
        <f>'P&amp;L'!BB40</f>
        <v>504014.5200694002</v>
      </c>
      <c r="BC7" s="8">
        <f>'P&amp;L'!BC40</f>
        <v>607826.04236974556</v>
      </c>
      <c r="BD7" s="8">
        <f>'P&amp;L'!BD40</f>
        <v>592962.51216010761</v>
      </c>
      <c r="BE7" s="8">
        <f>'P&amp;L'!BE40</f>
        <v>640652.80881498789</v>
      </c>
      <c r="BF7" s="8">
        <f>'P&amp;L'!BF40</f>
        <v>751003.46767761244</v>
      </c>
      <c r="BG7" s="8">
        <f>'P&amp;L'!BG40</f>
        <v>743157.76185836783</v>
      </c>
      <c r="BH7" s="8">
        <f>'P&amp;L'!BH40</f>
        <v>798228.58212316153</v>
      </c>
      <c r="BI7" s="8">
        <f>'P&amp;L'!BI40</f>
        <v>916315.43477619463</v>
      </c>
    </row>
    <row r="8" spans="1:61" ht="15" customHeight="1" x14ac:dyDescent="0.35">
      <c r="A8" s="7" t="s">
        <v>327</v>
      </c>
      <c r="B8" s="9">
        <f>'Drivers &amp; Assumptions'!C62</f>
        <v>500</v>
      </c>
      <c r="C8" s="9">
        <f>'Drivers &amp; Assumptions'!C62</f>
        <v>500</v>
      </c>
      <c r="D8" s="9">
        <f>'Drivers &amp; Assumptions'!C62</f>
        <v>500</v>
      </c>
      <c r="E8" s="9">
        <f>'Drivers &amp; Assumptions'!C62</f>
        <v>500</v>
      </c>
      <c r="F8" s="9">
        <f>'Drivers &amp; Assumptions'!C62</f>
        <v>500</v>
      </c>
      <c r="G8" s="9">
        <f>'Drivers &amp; Assumptions'!C62</f>
        <v>500</v>
      </c>
      <c r="H8" s="9">
        <f>'Drivers &amp; Assumptions'!C62</f>
        <v>500</v>
      </c>
      <c r="I8" s="9">
        <f>'Drivers &amp; Assumptions'!C62</f>
        <v>500</v>
      </c>
      <c r="J8" s="9">
        <f>'Drivers &amp; Assumptions'!C62</f>
        <v>500</v>
      </c>
      <c r="K8" s="9">
        <f>'Drivers &amp; Assumptions'!C62</f>
        <v>500</v>
      </c>
      <c r="L8" s="9">
        <f>'Drivers &amp; Assumptions'!C62</f>
        <v>500</v>
      </c>
      <c r="M8" s="9">
        <f>'Drivers &amp; Assumptions'!C62</f>
        <v>500</v>
      </c>
      <c r="N8" s="9">
        <f>'Drivers &amp; Assumptions'!C62</f>
        <v>500</v>
      </c>
      <c r="O8" s="9">
        <f>'Drivers &amp; Assumptions'!C62</f>
        <v>500</v>
      </c>
      <c r="P8" s="9">
        <f>'Drivers &amp; Assumptions'!C62</f>
        <v>500</v>
      </c>
      <c r="Q8" s="9">
        <f>'Drivers &amp; Assumptions'!C62</f>
        <v>500</v>
      </c>
      <c r="R8" s="9">
        <f>'Drivers &amp; Assumptions'!C62</f>
        <v>500</v>
      </c>
      <c r="S8" s="9">
        <f>'Drivers &amp; Assumptions'!C62</f>
        <v>500</v>
      </c>
      <c r="T8" s="9">
        <f>'Drivers &amp; Assumptions'!C62</f>
        <v>500</v>
      </c>
      <c r="U8" s="9">
        <f>'Drivers &amp; Assumptions'!C62</f>
        <v>500</v>
      </c>
      <c r="V8" s="9">
        <f>'Drivers &amp; Assumptions'!C62</f>
        <v>500</v>
      </c>
      <c r="W8" s="9">
        <f>'Drivers &amp; Assumptions'!C62</f>
        <v>500</v>
      </c>
      <c r="X8" s="9">
        <f>'Drivers &amp; Assumptions'!C62</f>
        <v>500</v>
      </c>
      <c r="Y8" s="9">
        <f>'Drivers &amp; Assumptions'!C62</f>
        <v>500</v>
      </c>
      <c r="Z8" s="9">
        <f>'Drivers &amp; Assumptions'!C62</f>
        <v>500</v>
      </c>
      <c r="AA8" s="9">
        <f>'Drivers &amp; Assumptions'!C62</f>
        <v>500</v>
      </c>
      <c r="AB8" s="9">
        <f>'Drivers &amp; Assumptions'!C62</f>
        <v>500</v>
      </c>
      <c r="AC8" s="9">
        <f>'Drivers &amp; Assumptions'!C62</f>
        <v>500</v>
      </c>
      <c r="AD8" s="9">
        <f>'Drivers &amp; Assumptions'!C62</f>
        <v>500</v>
      </c>
      <c r="AE8" s="9">
        <f>'Drivers &amp; Assumptions'!C62</f>
        <v>500</v>
      </c>
      <c r="AF8" s="9">
        <f>'Drivers &amp; Assumptions'!C62</f>
        <v>500</v>
      </c>
      <c r="AG8" s="9">
        <f>'Drivers &amp; Assumptions'!C62</f>
        <v>500</v>
      </c>
      <c r="AH8" s="9">
        <f>'Drivers &amp; Assumptions'!C62</f>
        <v>500</v>
      </c>
      <c r="AI8" s="9">
        <f>'Drivers &amp; Assumptions'!C62</f>
        <v>500</v>
      </c>
      <c r="AJ8" s="9">
        <f>'Drivers &amp; Assumptions'!C62</f>
        <v>500</v>
      </c>
      <c r="AK8" s="9">
        <f>'Drivers &amp; Assumptions'!C62</f>
        <v>500</v>
      </c>
      <c r="AL8" s="9">
        <f>'Drivers &amp; Assumptions'!C62</f>
        <v>500</v>
      </c>
      <c r="AM8" s="9">
        <f>'Drivers &amp; Assumptions'!C62</f>
        <v>500</v>
      </c>
      <c r="AN8" s="9">
        <f>'Drivers &amp; Assumptions'!C62</f>
        <v>500</v>
      </c>
      <c r="AO8" s="9">
        <f>'Drivers &amp; Assumptions'!C62</f>
        <v>500</v>
      </c>
      <c r="AP8" s="9">
        <f>'Drivers &amp; Assumptions'!C62</f>
        <v>500</v>
      </c>
      <c r="AQ8" s="9">
        <f>'Drivers &amp; Assumptions'!C62</f>
        <v>500</v>
      </c>
      <c r="AR8" s="9">
        <f>'Drivers &amp; Assumptions'!C62</f>
        <v>500</v>
      </c>
      <c r="AS8" s="9">
        <f>'Drivers &amp; Assumptions'!C62</f>
        <v>500</v>
      </c>
      <c r="AT8" s="9">
        <f>'Drivers &amp; Assumptions'!C62</f>
        <v>500</v>
      </c>
      <c r="AU8" s="9">
        <f>'Drivers &amp; Assumptions'!C62</f>
        <v>500</v>
      </c>
      <c r="AV8" s="9">
        <f>'Drivers &amp; Assumptions'!C62</f>
        <v>500</v>
      </c>
      <c r="AW8" s="9">
        <f>'Drivers &amp; Assumptions'!C62</f>
        <v>500</v>
      </c>
      <c r="AX8" s="9">
        <f>'Drivers &amp; Assumptions'!C62</f>
        <v>500</v>
      </c>
      <c r="AY8" s="9">
        <f>'Drivers &amp; Assumptions'!C62</f>
        <v>500</v>
      </c>
      <c r="AZ8" s="9">
        <f>'Drivers &amp; Assumptions'!C62</f>
        <v>500</v>
      </c>
      <c r="BA8" s="9">
        <f>'Drivers &amp; Assumptions'!C62</f>
        <v>500</v>
      </c>
      <c r="BB8" s="9">
        <f>'Drivers &amp; Assumptions'!C62</f>
        <v>500</v>
      </c>
      <c r="BC8" s="9">
        <f>'Drivers &amp; Assumptions'!C62</f>
        <v>500</v>
      </c>
      <c r="BD8" s="9">
        <f>'Drivers &amp; Assumptions'!C62</f>
        <v>500</v>
      </c>
      <c r="BE8" s="9">
        <f>'Drivers &amp; Assumptions'!C62</f>
        <v>500</v>
      </c>
      <c r="BF8" s="9">
        <f>'Drivers &amp; Assumptions'!C62</f>
        <v>500</v>
      </c>
      <c r="BG8" s="9">
        <f>'Drivers &amp; Assumptions'!C62</f>
        <v>500</v>
      </c>
      <c r="BH8" s="9">
        <f>'Drivers &amp; Assumptions'!C62</f>
        <v>500</v>
      </c>
      <c r="BI8" s="9">
        <f>'Drivers &amp; Assumptions'!C62</f>
        <v>500</v>
      </c>
    </row>
    <row r="10" spans="1:61" ht="15" customHeight="1" x14ac:dyDescent="0.35">
      <c r="A10" s="5" t="s">
        <v>328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</row>
    <row r="11" spans="1:61" ht="15" customHeight="1" x14ac:dyDescent="0.35">
      <c r="A11" s="7" t="s">
        <v>329</v>
      </c>
      <c r="B11" s="9">
        <f>-'Balance Sheet'!B8</f>
        <v>-13629.399999999998</v>
      </c>
      <c r="C11" s="9">
        <f>-('Balance Sheet'!C8-'Balance Sheet'!B8)</f>
        <v>-9952.7000000000007</v>
      </c>
      <c r="D11" s="9">
        <f>-('Balance Sheet'!D8-'Balance Sheet'!C8)</f>
        <v>10960.699999999999</v>
      </c>
      <c r="E11" s="9">
        <f>-('Balance Sheet'!E8-'Balance Sheet'!D8)</f>
        <v>1798.1999999999989</v>
      </c>
      <c r="F11" s="9">
        <f>-('Balance Sheet'!F8-'Balance Sheet'!E8)</f>
        <v>-5288.6999999999989</v>
      </c>
      <c r="G11" s="9">
        <f>-('Balance Sheet'!G8-'Balance Sheet'!F8)</f>
        <v>6220.9</v>
      </c>
      <c r="H11" s="9">
        <f>-('Balance Sheet'!H8-'Balance Sheet'!G8)</f>
        <v>1876.1000000000004</v>
      </c>
      <c r="I11" s="9">
        <f>-('Balance Sheet'!I8-'Balance Sheet'!H8)</f>
        <v>-28024.799999999996</v>
      </c>
      <c r="J11" s="9">
        <f>-('Balance Sheet'!J8-'Balance Sheet'!I8)</f>
        <v>-14320.300000000003</v>
      </c>
      <c r="K11" s="9">
        <f>-('Balance Sheet'!K8-'Balance Sheet'!J8)</f>
        <v>45987.8</v>
      </c>
      <c r="L11" s="9">
        <f>-('Balance Sheet'!L8-'Balance Sheet'!K8)</f>
        <v>-4725.0000000000009</v>
      </c>
      <c r="M11" s="9">
        <f>-('Balance Sheet'!M8-'Balance Sheet'!L8)</f>
        <v>-48094.2</v>
      </c>
      <c r="N11" s="9">
        <f>-('Balance Sheet'!N8-'Balance Sheet'!M8)</f>
        <v>42701.4</v>
      </c>
      <c r="O11" s="9">
        <f>-('Balance Sheet'!O8-'Balance Sheet'!N8)</f>
        <v>-2620.7999999999993</v>
      </c>
      <c r="P11" s="9">
        <f>-('Balance Sheet'!P8-'Balance Sheet'!O8)</f>
        <v>-56989.8</v>
      </c>
      <c r="Q11" s="9">
        <f>-('Balance Sheet'!Q8-'Balance Sheet'!P8)</f>
        <v>51886.8</v>
      </c>
      <c r="R11" s="9">
        <f>-('Balance Sheet'!R8-'Balance Sheet'!Q8)</f>
        <v>-2532.6000000000022</v>
      </c>
      <c r="S11" s="9">
        <f>-('Balance Sheet'!S8-'Balance Sheet'!R8)</f>
        <v>-56964.6</v>
      </c>
      <c r="T11" s="9">
        <f>-('Balance Sheet'!T8-'Balance Sheet'!S8)</f>
        <v>51861.599999999999</v>
      </c>
      <c r="U11" s="9">
        <f>-('Balance Sheet'!U8-'Balance Sheet'!T8)</f>
        <v>-2557.7999999999993</v>
      </c>
      <c r="V11" s="9">
        <f>-('Balance Sheet'!V8-'Balance Sheet'!U8)</f>
        <v>-57052.800000000003</v>
      </c>
      <c r="W11" s="9">
        <f>-('Balance Sheet'!W8-'Balance Sheet'!V8)</f>
        <v>51773.4</v>
      </c>
      <c r="X11" s="9">
        <f>-('Balance Sheet'!X8-'Balance Sheet'!W8)</f>
        <v>-2721.5999999999985</v>
      </c>
      <c r="Y11" s="9">
        <f>-('Balance Sheet'!Y8-'Balance Sheet'!X8)</f>
        <v>-57229.2</v>
      </c>
      <c r="Z11" s="9">
        <f>-('Balance Sheet'!Z8-'Balance Sheet'!Y8)</f>
        <v>51571.799999999996</v>
      </c>
      <c r="AA11" s="9">
        <f>-('Balance Sheet'!AA8-'Balance Sheet'!Z8)</f>
        <v>-2948.4000000000015</v>
      </c>
      <c r="AB11" s="9">
        <f>-('Balance Sheet'!AB8-'Balance Sheet'!AA8)</f>
        <v>-75637.799999999988</v>
      </c>
      <c r="AC11" s="9">
        <f>-('Balance Sheet'!AC8-'Balance Sheet'!AB8)</f>
        <v>69413.399999999994</v>
      </c>
      <c r="AD11" s="9">
        <f>-('Balance Sheet'!AD8-'Balance Sheet'!AC8)</f>
        <v>-3288.5999999999985</v>
      </c>
      <c r="AE11" s="9">
        <f>-('Balance Sheet'!AE8-'Balance Sheet'!AD8)</f>
        <v>-76003.200000000012</v>
      </c>
      <c r="AF11" s="9">
        <f>-('Balance Sheet'!AF8-'Balance Sheet'!AE8)</f>
        <v>69022.800000000017</v>
      </c>
      <c r="AG11" s="9">
        <f>-('Balance Sheet'!AG8-'Balance Sheet'!AF8)</f>
        <v>-3716.9999999999927</v>
      </c>
      <c r="AH11" s="9">
        <f>-('Balance Sheet'!AH8-'Balance Sheet'!AG8)</f>
        <v>-76444.200000000012</v>
      </c>
      <c r="AI11" s="9">
        <f>-('Balance Sheet'!AI8-'Balance Sheet'!AH8)</f>
        <v>68531.400000000009</v>
      </c>
      <c r="AJ11" s="9">
        <f>-('Balance Sheet'!AJ8-'Balance Sheet'!AI8)</f>
        <v>-4208.4000000000087</v>
      </c>
      <c r="AK11" s="9">
        <f>-('Balance Sheet'!AK8-'Balance Sheet'!AJ8)</f>
        <v>-76986</v>
      </c>
      <c r="AL11" s="9">
        <f>-('Balance Sheet'!AL8-'Balance Sheet'!AK8)</f>
        <v>58892.400000000009</v>
      </c>
      <c r="AM11" s="9">
        <f>-('Balance Sheet'!AM8-'Balance Sheet'!AL8)</f>
        <v>-7106.4000000000087</v>
      </c>
      <c r="AN11" s="9">
        <f>-('Balance Sheet'!AN8-'Balance Sheet'!AM8)</f>
        <v>-98053.199999999983</v>
      </c>
      <c r="AO11" s="9">
        <f>-('Balance Sheet'!AO8-'Balance Sheet'!AN8)</f>
        <v>83159.999999999985</v>
      </c>
      <c r="AP11" s="9">
        <f>-('Balance Sheet'!AP8-'Balance Sheet'!AO8)</f>
        <v>-7812</v>
      </c>
      <c r="AQ11" s="9">
        <f>-('Balance Sheet'!AQ8-'Balance Sheet'!AP8)</f>
        <v>-98809.2</v>
      </c>
      <c r="AR11" s="9">
        <f>-('Balance Sheet'!AR8-'Balance Sheet'!AQ8)</f>
        <v>82341</v>
      </c>
      <c r="AS11" s="9">
        <f>-('Balance Sheet'!AS8-'Balance Sheet'!AR8)</f>
        <v>-8668.7999999999884</v>
      </c>
      <c r="AT11" s="9">
        <f>-('Balance Sheet'!AT8-'Balance Sheet'!AS8)</f>
        <v>-99691.200000000012</v>
      </c>
      <c r="AU11" s="9">
        <f>-('Balance Sheet'!AU8-'Balance Sheet'!AT8)</f>
        <v>81408.600000000006</v>
      </c>
      <c r="AV11" s="9">
        <f>-('Balance Sheet'!AV8-'Balance Sheet'!AU8)</f>
        <v>-9664.2000000000116</v>
      </c>
      <c r="AW11" s="9">
        <f>-('Balance Sheet'!AW8-'Balance Sheet'!AV8)</f>
        <v>-100724.4</v>
      </c>
      <c r="AX11" s="9">
        <f>-('Balance Sheet'!AX8-'Balance Sheet'!AW8)</f>
        <v>75789</v>
      </c>
      <c r="AY11" s="9">
        <f>-('Balance Sheet'!AY8-'Balance Sheet'!AX8)</f>
        <v>-11106.899999999994</v>
      </c>
      <c r="AZ11" s="9">
        <f>-('Balance Sheet'!AZ8-'Balance Sheet'!AY8)</f>
        <v>-120361.50000000003</v>
      </c>
      <c r="BA11" s="9">
        <f>-('Balance Sheet'!BA8-'Balance Sheet'!AZ8)</f>
        <v>96900.300000000017</v>
      </c>
      <c r="BB11" s="9">
        <f>-('Balance Sheet'!BB8-'Balance Sheet'!BA8)</f>
        <v>-12417.299999999988</v>
      </c>
      <c r="BC11" s="9">
        <f>-('Balance Sheet'!BC8-'Balance Sheet'!BB8)</f>
        <v>-121797.9</v>
      </c>
      <c r="BD11" s="9">
        <f>-('Balance Sheet'!BD8-'Balance Sheet'!BC8)</f>
        <v>95438.700000000012</v>
      </c>
      <c r="BE11" s="9">
        <f>-('Balance Sheet'!BE8-'Balance Sheet'!BD8)</f>
        <v>-13967.100000000035</v>
      </c>
      <c r="BF11" s="9">
        <f>-('Balance Sheet'!BF8-'Balance Sheet'!BE8)</f>
        <v>-123398.09999999998</v>
      </c>
      <c r="BG11" s="9">
        <f>-('Balance Sheet'!BG8-'Balance Sheet'!BF8)</f>
        <v>93725.099999999977</v>
      </c>
      <c r="BH11" s="9">
        <f>-('Balance Sheet'!BH8-'Balance Sheet'!BG8)</f>
        <v>-15768.899999999965</v>
      </c>
      <c r="BI11" s="9">
        <f>-('Balance Sheet'!BI8-'Balance Sheet'!BH8)</f>
        <v>-125288.10000000003</v>
      </c>
    </row>
    <row r="12" spans="1:61" ht="15" customHeight="1" x14ac:dyDescent="0.35">
      <c r="A12" s="7" t="s">
        <v>330</v>
      </c>
      <c r="B12" s="9">
        <f>-'Balance Sheet'!B9</f>
        <v>-47788</v>
      </c>
      <c r="C12" s="9">
        <f>-('Balance Sheet'!C9-'Balance Sheet'!B9)</f>
        <v>-31019</v>
      </c>
      <c r="D12" s="9">
        <f>-('Balance Sheet'!D9-'Balance Sheet'!C9)</f>
        <v>-31738</v>
      </c>
      <c r="E12" s="9">
        <f>-('Balance Sheet'!E9-'Balance Sheet'!D9)</f>
        <v>47952</v>
      </c>
      <c r="F12" s="9">
        <f>-('Balance Sheet'!F9-'Balance Sheet'!E9)</f>
        <v>-17625</v>
      </c>
      <c r="G12" s="9">
        <f>-('Balance Sheet'!G9-'Balance Sheet'!F9)</f>
        <v>14725</v>
      </c>
      <c r="H12" s="9">
        <f>-('Balance Sheet'!H9-'Balance Sheet'!G9)</f>
        <v>1535</v>
      </c>
      <c r="I12" s="9">
        <f>-('Balance Sheet'!I9-'Balance Sheet'!H9)</f>
        <v>-135393</v>
      </c>
      <c r="J12" s="9">
        <f>-('Balance Sheet'!J9-'Balance Sheet'!I9)</f>
        <v>103991</v>
      </c>
      <c r="K12" s="9">
        <f>-('Balance Sheet'!K9-'Balance Sheet'!J9)</f>
        <v>51638</v>
      </c>
      <c r="L12" s="9">
        <f>-('Balance Sheet'!L9-'Balance Sheet'!K9)</f>
        <v>-47250</v>
      </c>
      <c r="M12" s="9">
        <f>-('Balance Sheet'!M9-'Balance Sheet'!L9)</f>
        <v>-72702</v>
      </c>
      <c r="N12" s="9">
        <f>-('Balance Sheet'!N9-'Balance Sheet'!M9)</f>
        <v>18774</v>
      </c>
      <c r="O12" s="9">
        <f>-('Balance Sheet'!O9-'Balance Sheet'!N9)</f>
        <v>-26208</v>
      </c>
      <c r="P12" s="9">
        <f>-('Balance Sheet'!P9-'Balance Sheet'!O9)</f>
        <v>-80010</v>
      </c>
      <c r="Q12" s="9">
        <f>-('Balance Sheet'!Q9-'Balance Sheet'!P9)</f>
        <v>28980</v>
      </c>
      <c r="R12" s="9">
        <f>-('Balance Sheet'!R9-'Balance Sheet'!Q9)</f>
        <v>-25326</v>
      </c>
      <c r="S12" s="9">
        <f>-('Balance Sheet'!S9-'Balance Sheet'!R9)</f>
        <v>-79758</v>
      </c>
      <c r="T12" s="9">
        <f>-('Balance Sheet'!T9-'Balance Sheet'!S9)</f>
        <v>28728</v>
      </c>
      <c r="U12" s="9">
        <f>-('Balance Sheet'!U9-'Balance Sheet'!T9)</f>
        <v>-25578</v>
      </c>
      <c r="V12" s="9">
        <f>-('Balance Sheet'!V9-'Balance Sheet'!U9)</f>
        <v>-80640</v>
      </c>
      <c r="W12" s="9">
        <f>-('Balance Sheet'!W9-'Balance Sheet'!V9)</f>
        <v>27846</v>
      </c>
      <c r="X12" s="9">
        <f>-('Balance Sheet'!X9-'Balance Sheet'!W9)</f>
        <v>-27216</v>
      </c>
      <c r="Y12" s="9">
        <f>-('Balance Sheet'!Y9-'Balance Sheet'!X9)</f>
        <v>-82404</v>
      </c>
      <c r="Z12" s="9">
        <f>-('Balance Sheet'!Z9-'Balance Sheet'!Y9)</f>
        <v>25830</v>
      </c>
      <c r="AA12" s="9">
        <f>-('Balance Sheet'!AA9-'Balance Sheet'!Z9)</f>
        <v>-29484</v>
      </c>
      <c r="AB12" s="9">
        <f>-('Balance Sheet'!AB9-'Balance Sheet'!AA9)</f>
        <v>-103194</v>
      </c>
      <c r="AC12" s="9">
        <f>-('Balance Sheet'!AC9-'Balance Sheet'!AB9)</f>
        <v>40950</v>
      </c>
      <c r="AD12" s="9">
        <f>-('Balance Sheet'!AD9-'Balance Sheet'!AC9)</f>
        <v>-32886</v>
      </c>
      <c r="AE12" s="9">
        <f>-('Balance Sheet'!AE9-'Balance Sheet'!AD9)</f>
        <v>-106848</v>
      </c>
      <c r="AF12" s="9">
        <f>-('Balance Sheet'!AF9-'Balance Sheet'!AE9)</f>
        <v>37044</v>
      </c>
      <c r="AG12" s="9">
        <f>-('Balance Sheet'!AG9-'Balance Sheet'!AF9)</f>
        <v>-37170</v>
      </c>
      <c r="AH12" s="9">
        <f>-('Balance Sheet'!AH9-'Balance Sheet'!AG9)</f>
        <v>-111258</v>
      </c>
      <c r="AI12" s="9">
        <f>-('Balance Sheet'!AI9-'Balance Sheet'!AH9)</f>
        <v>32130</v>
      </c>
      <c r="AJ12" s="9">
        <f>-('Balance Sheet'!AJ9-'Balance Sheet'!AI9)</f>
        <v>-42084</v>
      </c>
      <c r="AK12" s="9">
        <f>-('Balance Sheet'!AK9-'Balance Sheet'!AJ9)</f>
        <v>-116676</v>
      </c>
      <c r="AL12" s="9">
        <f>-('Balance Sheet'!AL9-'Balance Sheet'!AK9)</f>
        <v>20412</v>
      </c>
      <c r="AM12" s="9">
        <f>-('Balance Sheet'!AM9-'Balance Sheet'!AL9)</f>
        <v>-49896</v>
      </c>
      <c r="AN12" s="9">
        <f>-('Balance Sheet'!AN9-'Balance Sheet'!AM9)</f>
        <v>-142884</v>
      </c>
      <c r="AO12" s="9">
        <f>-('Balance Sheet'!AO9-'Balance Sheet'!AN9)</f>
        <v>36288</v>
      </c>
      <c r="AP12" s="9">
        <f>-('Balance Sheet'!AP9-'Balance Sheet'!AO9)</f>
        <v>-56952</v>
      </c>
      <c r="AQ12" s="9">
        <f>-('Balance Sheet'!AQ9-'Balance Sheet'!AP9)</f>
        <v>-150444</v>
      </c>
      <c r="AR12" s="9">
        <f>-('Balance Sheet'!AR9-'Balance Sheet'!AQ9)</f>
        <v>28098</v>
      </c>
      <c r="AS12" s="9">
        <f>-('Balance Sheet'!AS9-'Balance Sheet'!AR9)</f>
        <v>-65520</v>
      </c>
      <c r="AT12" s="9">
        <f>-('Balance Sheet'!AT9-'Balance Sheet'!AS9)</f>
        <v>-159264</v>
      </c>
      <c r="AU12" s="9">
        <f>-('Balance Sheet'!AU9-'Balance Sheet'!AT9)</f>
        <v>18774</v>
      </c>
      <c r="AV12" s="9">
        <f>-('Balance Sheet'!AV9-'Balance Sheet'!AU9)</f>
        <v>-75474</v>
      </c>
      <c r="AW12" s="9">
        <f>-('Balance Sheet'!AW9-'Balance Sheet'!AV9)</f>
        <v>-169596</v>
      </c>
      <c r="AX12" s="9">
        <f>-('Balance Sheet'!AX9-'Balance Sheet'!AW9)</f>
        <v>4914</v>
      </c>
      <c r="AY12" s="9">
        <f>-('Balance Sheet'!AY9-'Balance Sheet'!AX9)</f>
        <v>-87255</v>
      </c>
      <c r="AZ12" s="9">
        <f>-('Balance Sheet'!AZ9-'Balance Sheet'!AY9)</f>
        <v>-200025</v>
      </c>
      <c r="BA12" s="9">
        <f>-('Balance Sheet'!BA9-'Balance Sheet'!AZ9)</f>
        <v>13041</v>
      </c>
      <c r="BB12" s="9">
        <f>-('Balance Sheet'!BB9-'Balance Sheet'!BA9)</f>
        <v>-100359</v>
      </c>
      <c r="BC12" s="9">
        <f>-('Balance Sheet'!BC9-'Balance Sheet'!BB9)</f>
        <v>-214389</v>
      </c>
      <c r="BD12" s="9">
        <f>-('Balance Sheet'!BD9-'Balance Sheet'!BC9)</f>
        <v>-1575</v>
      </c>
      <c r="BE12" s="9">
        <f>-('Balance Sheet'!BE9-'Balance Sheet'!BD9)</f>
        <v>-115857</v>
      </c>
      <c r="BF12" s="9">
        <f>-('Balance Sheet'!BF9-'Balance Sheet'!BE9)</f>
        <v>-230391</v>
      </c>
      <c r="BG12" s="9">
        <f>-('Balance Sheet'!BG9-'Balance Sheet'!BF9)</f>
        <v>-18711</v>
      </c>
      <c r="BH12" s="9">
        <f>-('Balance Sheet'!BH9-'Balance Sheet'!BG9)</f>
        <v>-133875</v>
      </c>
      <c r="BI12" s="9">
        <f>-('Balance Sheet'!BI9-'Balance Sheet'!BH9)</f>
        <v>-249291</v>
      </c>
    </row>
    <row r="13" spans="1:61" ht="15" customHeight="1" x14ac:dyDescent="0.35">
      <c r="A13" s="7" t="s">
        <v>331</v>
      </c>
      <c r="B13" s="9">
        <f>'Balance Sheet'!B18</f>
        <v>15559</v>
      </c>
      <c r="C13" s="9">
        <f>'Balance Sheet'!C18-'Balance Sheet'!B18</f>
        <v>9986.75</v>
      </c>
      <c r="D13" s="9">
        <f>'Balance Sheet'!D18-'Balance Sheet'!C18</f>
        <v>12458.5</v>
      </c>
      <c r="E13" s="9">
        <f>'Balance Sheet'!E18-'Balance Sheet'!D18</f>
        <v>-16872</v>
      </c>
      <c r="F13" s="9">
        <f>'Balance Sheet'!F18-'Balance Sheet'!E18</f>
        <v>5702.25</v>
      </c>
      <c r="G13" s="9">
        <f>'Balance Sheet'!G18-'Balance Sheet'!F18</f>
        <v>-4581.25</v>
      </c>
      <c r="H13" s="9">
        <f>'Balance Sheet'!H18-'Balance Sheet'!G18</f>
        <v>-347.75</v>
      </c>
      <c r="I13" s="9">
        <f>'Balance Sheet'!I18-'Balance Sheet'!H18</f>
        <v>45212.25</v>
      </c>
      <c r="J13" s="9">
        <f>'Balance Sheet'!J18-'Balance Sheet'!I18</f>
        <v>-41973.75</v>
      </c>
      <c r="K13" s="9">
        <f>'Balance Sheet'!K18-'Balance Sheet'!J18</f>
        <v>-10049.5</v>
      </c>
      <c r="L13" s="9">
        <f>'Balance Sheet'!L18-'Balance Sheet'!K18</f>
        <v>16312.5</v>
      </c>
      <c r="M13" s="9">
        <f>'Balance Sheet'!M18-'Balance Sheet'!L18</f>
        <v>21279.5</v>
      </c>
      <c r="N13" s="9">
        <f>'Balance Sheet'!N18-'Balance Sheet'!M18</f>
        <v>-2661.5</v>
      </c>
      <c r="O13" s="9">
        <f>'Balance Sheet'!O18-'Balance Sheet'!N18</f>
        <v>9048</v>
      </c>
      <c r="P13" s="9">
        <f>'Balance Sheet'!P18-'Balance Sheet'!O18</f>
        <v>23038.5</v>
      </c>
      <c r="Q13" s="9">
        <f>'Balance Sheet'!Q18-'Balance Sheet'!P18</f>
        <v>-5421</v>
      </c>
      <c r="R13" s="9">
        <f>'Balance Sheet'!R18-'Balance Sheet'!Q18</f>
        <v>8743.5</v>
      </c>
      <c r="S13" s="9">
        <f>'Balance Sheet'!S18-'Balance Sheet'!R18</f>
        <v>22951.5</v>
      </c>
      <c r="T13" s="9">
        <f>'Balance Sheet'!T18-'Balance Sheet'!S18</f>
        <v>-5334</v>
      </c>
      <c r="U13" s="9">
        <f>'Balance Sheet'!U18-'Balance Sheet'!T18</f>
        <v>8830.5</v>
      </c>
      <c r="V13" s="9">
        <f>'Balance Sheet'!V18-'Balance Sheet'!U18</f>
        <v>23256</v>
      </c>
      <c r="W13" s="9">
        <f>'Balance Sheet'!W18-'Balance Sheet'!V18</f>
        <v>-5029.5</v>
      </c>
      <c r="X13" s="9">
        <f>'Balance Sheet'!X18-'Balance Sheet'!W18</f>
        <v>9396</v>
      </c>
      <c r="Y13" s="9">
        <f>'Balance Sheet'!Y18-'Balance Sheet'!X18</f>
        <v>23865</v>
      </c>
      <c r="Z13" s="9">
        <f>'Balance Sheet'!Z18-'Balance Sheet'!Y18</f>
        <v>-4333.5</v>
      </c>
      <c r="AA13" s="9">
        <f>'Balance Sheet'!AA18-'Balance Sheet'!Z18</f>
        <v>10179</v>
      </c>
      <c r="AB13" s="9">
        <f>'Balance Sheet'!AB18-'Balance Sheet'!AA18</f>
        <v>29514.5</v>
      </c>
      <c r="AC13" s="9">
        <f>'Balance Sheet'!AC18-'Balance Sheet'!AB18</f>
        <v>-8025.5</v>
      </c>
      <c r="AD13" s="9">
        <f>'Balance Sheet'!AD18-'Balance Sheet'!AC18</f>
        <v>11353.5</v>
      </c>
      <c r="AE13" s="9">
        <f>'Balance Sheet'!AE18-'Balance Sheet'!AD18</f>
        <v>30776</v>
      </c>
      <c r="AF13" s="9">
        <f>'Balance Sheet'!AF18-'Balance Sheet'!AE18</f>
        <v>-6677</v>
      </c>
      <c r="AG13" s="9">
        <f>'Balance Sheet'!AG18-'Balance Sheet'!AF18</f>
        <v>12832.5</v>
      </c>
      <c r="AH13" s="9">
        <f>'Balance Sheet'!AH18-'Balance Sheet'!AG18</f>
        <v>32298.5</v>
      </c>
      <c r="AI13" s="9">
        <f>'Balance Sheet'!AI18-'Balance Sheet'!AH18</f>
        <v>-4980.5</v>
      </c>
      <c r="AJ13" s="9">
        <f>'Balance Sheet'!AJ18-'Balance Sheet'!AI18</f>
        <v>14529</v>
      </c>
      <c r="AK13" s="9">
        <f>'Balance Sheet'!AK18-'Balance Sheet'!AJ18</f>
        <v>34169</v>
      </c>
      <c r="AL13" s="9">
        <f>'Balance Sheet'!AL18-'Balance Sheet'!AK18</f>
        <v>-1427</v>
      </c>
      <c r="AM13" s="9">
        <f>'Balance Sheet'!AM18-'Balance Sheet'!AL18</f>
        <v>17100</v>
      </c>
      <c r="AN13" s="9">
        <f>'Balance Sheet'!AN18-'Balance Sheet'!AM18</f>
        <v>41563</v>
      </c>
      <c r="AO13" s="9">
        <f>'Balance Sheet'!AO18-'Balance Sheet'!AN18</f>
        <v>-5008</v>
      </c>
      <c r="AP13" s="9">
        <f>'Balance Sheet'!AP18-'Balance Sheet'!AO18</f>
        <v>19536</v>
      </c>
      <c r="AQ13" s="9">
        <f>'Balance Sheet'!AQ18-'Balance Sheet'!AP18</f>
        <v>44173</v>
      </c>
      <c r="AR13" s="9">
        <f>'Balance Sheet'!AR18-'Balance Sheet'!AQ18</f>
        <v>-2180.5</v>
      </c>
      <c r="AS13" s="9">
        <f>'Balance Sheet'!AS18-'Balance Sheet'!AR18</f>
        <v>22494</v>
      </c>
      <c r="AT13" s="9">
        <f>'Balance Sheet'!AT18-'Balance Sheet'!AS18</f>
        <v>47218</v>
      </c>
      <c r="AU13" s="9">
        <f>'Balance Sheet'!AU18-'Balance Sheet'!AT18</f>
        <v>1038.5</v>
      </c>
      <c r="AV13" s="9">
        <f>'Balance Sheet'!AV18-'Balance Sheet'!AU18</f>
        <v>25930.5</v>
      </c>
      <c r="AW13" s="9">
        <f>'Balance Sheet'!AW18-'Balance Sheet'!AV18</f>
        <v>50785</v>
      </c>
      <c r="AX13" s="9">
        <f>'Balance Sheet'!AX18-'Balance Sheet'!AW18</f>
        <v>5571.5</v>
      </c>
      <c r="AY13" s="9">
        <f>'Balance Sheet'!AY18-'Balance Sheet'!AX18</f>
        <v>29985.75</v>
      </c>
      <c r="AZ13" s="9">
        <f>'Balance Sheet'!AZ18-'Balance Sheet'!AY18</f>
        <v>59750.25</v>
      </c>
      <c r="BA13" s="9">
        <f>'Balance Sheet'!BA18-'Balance Sheet'!AZ18</f>
        <v>4527.75</v>
      </c>
      <c r="BB13" s="9">
        <f>'Balance Sheet'!BB18-'Balance Sheet'!BA18</f>
        <v>34503.75</v>
      </c>
      <c r="BC13" s="9">
        <f>'Balance Sheet'!BC18-'Balance Sheet'!BB18</f>
        <v>64709.25</v>
      </c>
      <c r="BD13" s="9">
        <f>'Balance Sheet'!BD18-'Balance Sheet'!BC18</f>
        <v>9573.75</v>
      </c>
      <c r="BE13" s="9">
        <f>'Balance Sheet'!BE18-'Balance Sheet'!BD18</f>
        <v>39860.25</v>
      </c>
      <c r="BF13" s="9">
        <f>'Balance Sheet'!BF18-'Balance Sheet'!BE18</f>
        <v>70227.75</v>
      </c>
      <c r="BG13" s="9">
        <f>'Balance Sheet'!BG18-'Balance Sheet'!BF18</f>
        <v>15489.75</v>
      </c>
      <c r="BH13" s="9">
        <f>'Balance Sheet'!BH18-'Balance Sheet'!BG18</f>
        <v>46080.75</v>
      </c>
      <c r="BI13" s="9">
        <f>'Balance Sheet'!BI18-'Balance Sheet'!BH18</f>
        <v>76758.75</v>
      </c>
    </row>
    <row r="14" spans="1:61" ht="15" customHeight="1" x14ac:dyDescent="0.35">
      <c r="A14" s="7" t="s">
        <v>332</v>
      </c>
      <c r="B14" s="9">
        <f>'Balance Sheet'!B19</f>
        <v>0</v>
      </c>
      <c r="C14" s="9">
        <f>'Balance Sheet'!C19-'Balance Sheet'!B19</f>
        <v>2980.1049999999996</v>
      </c>
      <c r="D14" s="9">
        <f>'Balance Sheet'!D19-'Balance Sheet'!C19</f>
        <v>4464.0525000000016</v>
      </c>
      <c r="E14" s="9">
        <f>'Balance Sheet'!E19-'Balance Sheet'!D19</f>
        <v>-7385.385000000002</v>
      </c>
      <c r="F14" s="9">
        <f>'Balance Sheet'!F19-'Balance Sheet'!E19</f>
        <v>2877.885000000002</v>
      </c>
      <c r="G14" s="9">
        <f>'Balance Sheet'!G19-'Balance Sheet'!F19</f>
        <v>-2465.0700000000015</v>
      </c>
      <c r="H14" s="9">
        <f>'Balance Sheet'!H19-'Balance Sheet'!G19</f>
        <v>-299.65500000000065</v>
      </c>
      <c r="I14" s="9">
        <f>'Balance Sheet'!I19-'Balance Sheet'!H19</f>
        <v>21650.452499999999</v>
      </c>
      <c r="J14" s="9">
        <f>'Balance Sheet'!J19-'Balance Sheet'!I19</f>
        <v>-14518.384999999998</v>
      </c>
      <c r="K14" s="9">
        <f>'Balance Sheet'!K19-'Balance Sheet'!J19</f>
        <v>-7304</v>
      </c>
      <c r="L14" s="9">
        <f>'Balance Sheet'!L19-'Balance Sheet'!K19</f>
        <v>0</v>
      </c>
      <c r="M14" s="9">
        <f>'Balance Sheet'!M19-'Balance Sheet'!L19</f>
        <v>6472.02</v>
      </c>
      <c r="N14" s="9">
        <f>'Balance Sheet'!N19-'Balance Sheet'!M19</f>
        <v>-6472.02</v>
      </c>
      <c r="O14" s="9">
        <f>'Balance Sheet'!O19-'Balance Sheet'!N19</f>
        <v>0</v>
      </c>
      <c r="P14" s="9">
        <f>'Balance Sheet'!P19-'Balance Sheet'!O19</f>
        <v>12707.572187499994</v>
      </c>
      <c r="Q14" s="9">
        <f>'Balance Sheet'!Q19-'Balance Sheet'!P19</f>
        <v>-6399.7103906249977</v>
      </c>
      <c r="R14" s="9">
        <f>'Balance Sheet'!R19-'Balance Sheet'!Q19</f>
        <v>3620.6560898437565</v>
      </c>
      <c r="S14" s="9">
        <f>'Balance Sheet'!S19-'Balance Sheet'!R19</f>
        <v>13659.90489433593</v>
      </c>
      <c r="T14" s="9">
        <f>'Balance Sheet'!T19-'Balance Sheet'!S19</f>
        <v>-6410.6438609472643</v>
      </c>
      <c r="U14" s="9">
        <f>'Balance Sheet'!U19-'Balance Sheet'!T19</f>
        <v>3607.2079460053719</v>
      </c>
      <c r="V14" s="9">
        <f>'Balance Sheet'!V19-'Balance Sheet'!U19</f>
        <v>13742.216343305641</v>
      </c>
      <c r="W14" s="9">
        <f>'Balance Sheet'!W19-'Balance Sheet'!V19</f>
        <v>-6331.1048395290854</v>
      </c>
      <c r="X14" s="9">
        <f>'Balance Sheet'!X19-'Balance Sheet'!W19</f>
        <v>3801.9159184944729</v>
      </c>
      <c r="Y14" s="9">
        <f>'Balance Sheet'!Y19-'Balance Sheet'!X19</f>
        <v>13953.54771441919</v>
      </c>
      <c r="Z14" s="9">
        <f>'Balance Sheet'!Z19-'Balance Sheet'!Y19</f>
        <v>-19194.247899859853</v>
      </c>
      <c r="AA14" s="9">
        <f>'Balance Sheet'!AA19-'Balance Sheet'!Z19</f>
        <v>4085.3879551471546</v>
      </c>
      <c r="AB14" s="9">
        <f>'Balance Sheet'!AB19-'Balance Sheet'!AA19</f>
        <v>17644.521352904521</v>
      </c>
      <c r="AC14" s="9">
        <f>'Balance Sheet'!AC19-'Balance Sheet'!AB19</f>
        <v>-9041.3245794502654</v>
      </c>
      <c r="AD14" s="9">
        <f>'Balance Sheet'!AD19-'Balance Sheet'!AC19</f>
        <v>4534.8251915772344</v>
      </c>
      <c r="AE14" s="9">
        <f>'Balance Sheet'!AE19-'Balance Sheet'!AD19</f>
        <v>18129.222451156085</v>
      </c>
      <c r="AF14" s="9">
        <f>'Balance Sheet'!AF19-'Balance Sheet'!AE19</f>
        <v>-8521.5644262860951</v>
      </c>
      <c r="AG14" s="9">
        <f>'Balance Sheet'!AG19-'Balance Sheet'!AF19</f>
        <v>5109.1093523995805</v>
      </c>
      <c r="AH14" s="9">
        <f>'Balance Sheet'!AH19-'Balance Sheet'!AG19</f>
        <v>18718.444820019562</v>
      </c>
      <c r="AI14" s="9">
        <f>'Balance Sheet'!AI19-'Balance Sheet'!AH19</f>
        <v>-7858.6009389794344</v>
      </c>
      <c r="AJ14" s="9">
        <f>'Balance Sheet'!AJ19-'Balance Sheet'!AI19</f>
        <v>5766.8450140715577</v>
      </c>
      <c r="AK14" s="9">
        <f>'Balance Sheet'!AK19-'Balance Sheet'!AJ19</f>
        <v>19449.411264775175</v>
      </c>
      <c r="AL14" s="9">
        <f>'Balance Sheet'!AL19-'Balance Sheet'!AK19</f>
        <v>-35394.194421986089</v>
      </c>
      <c r="AM14" s="9">
        <f>'Balance Sheet'!AM19-'Balance Sheet'!AL19</f>
        <v>6902.7559194146015</v>
      </c>
      <c r="AN14" s="9">
        <f>'Balance Sheet'!AN19-'Balance Sheet'!AM19</f>
        <v>23970.327715385327</v>
      </c>
      <c r="AO14" s="9">
        <f>'Balance Sheet'!AO19-'Balance Sheet'!AN19</f>
        <v>-9245.9338988454256</v>
      </c>
      <c r="AP14" s="9">
        <f>'Balance Sheet'!AP19-'Balance Sheet'!AO19</f>
        <v>7857.7144062123552</v>
      </c>
      <c r="AQ14" s="9">
        <f>'Balance Sheet'!AQ19-'Balance Sheet'!AP19</f>
        <v>24996.650126522945</v>
      </c>
      <c r="AR14" s="9">
        <f>'Balance Sheet'!AR19-'Balance Sheet'!AQ19</f>
        <v>-8128.935367150887</v>
      </c>
      <c r="AS14" s="9">
        <f>'Balance Sheet'!AS19-'Balance Sheet'!AR19</f>
        <v>9025.6428644915577</v>
      </c>
      <c r="AT14" s="9">
        <f>'Balance Sheet'!AT19-'Balance Sheet'!AS19</f>
        <v>26195.423007716105</v>
      </c>
      <c r="AU14" s="9">
        <f>'Balance Sheet'!AU19-'Balance Sheet'!AT19</f>
        <v>-6860.3838418980886</v>
      </c>
      <c r="AV14" s="9">
        <f>'Balance Sheet'!AV19-'Balance Sheet'!AU19</f>
        <v>10383.205966007052</v>
      </c>
      <c r="AW14" s="9">
        <f>'Balance Sheet'!AW19-'Balance Sheet'!AV19</f>
        <v>27602.168264307402</v>
      </c>
      <c r="AX14" s="9">
        <f>'Balance Sheet'!AX19-'Balance Sheet'!AW19</f>
        <v>-55547.783384977287</v>
      </c>
      <c r="AY14" s="9">
        <f>'Balance Sheet'!AY19-'Balance Sheet'!AX19</f>
        <v>11999.469711398939</v>
      </c>
      <c r="AZ14" s="9">
        <f>'Balance Sheet'!AZ19-'Balance Sheet'!AY19</f>
        <v>32637.740321968799</v>
      </c>
      <c r="BA14" s="9">
        <f>'Balance Sheet'!BA19-'Balance Sheet'!AZ19</f>
        <v>-6946.0995369327138</v>
      </c>
      <c r="BB14" s="9">
        <f>'Balance Sheet'!BB19-'Balance Sheet'!BA19</f>
        <v>13783.480611220584</v>
      </c>
      <c r="BC14" s="9">
        <f>'Balance Sheet'!BC19-'Balance Sheet'!BB19</f>
        <v>34603.840766781766</v>
      </c>
      <c r="BD14" s="9">
        <f>'Balance Sheet'!BD19-'Balance Sheet'!BC19</f>
        <v>-4954.5100698792958</v>
      </c>
      <c r="BE14" s="9">
        <f>'Balance Sheet'!BE19-'Balance Sheet'!BD19</f>
        <v>15896.76555162674</v>
      </c>
      <c r="BF14" s="9">
        <f>'Balance Sheet'!BF19-'Balance Sheet'!BE19</f>
        <v>36783.552954208193</v>
      </c>
      <c r="BG14" s="9">
        <f>'Balance Sheet'!BG19-'Balance Sheet'!BF19</f>
        <v>-2615.2352730815182</v>
      </c>
      <c r="BH14" s="9">
        <f>'Balance Sheet'!BH19-'Balance Sheet'!BG19</f>
        <v>18356.940088264528</v>
      </c>
      <c r="BI14" s="9">
        <f>'Balance Sheet'!BI19-'Balance Sheet'!BH19</f>
        <v>39362.284217677719</v>
      </c>
    </row>
    <row r="16" spans="1:61" ht="15" customHeight="1" x14ac:dyDescent="0.35">
      <c r="A16" s="10" t="s">
        <v>333</v>
      </c>
      <c r="B16" s="12">
        <f t="shared" ref="B16:AG16" si="0">B11+B12+B13+B14</f>
        <v>-45858.399999999994</v>
      </c>
      <c r="C16" s="12">
        <f t="shared" si="0"/>
        <v>-28004.844999999998</v>
      </c>
      <c r="D16" s="12">
        <f t="shared" si="0"/>
        <v>-3854.7475000000013</v>
      </c>
      <c r="E16" s="12">
        <f t="shared" si="0"/>
        <v>25492.814999999995</v>
      </c>
      <c r="F16" s="12">
        <f t="shared" si="0"/>
        <v>-14333.564999999995</v>
      </c>
      <c r="G16" s="12">
        <f t="shared" si="0"/>
        <v>13899.58</v>
      </c>
      <c r="H16" s="12">
        <f t="shared" si="0"/>
        <v>2763.6949999999997</v>
      </c>
      <c r="I16" s="12">
        <f t="shared" si="0"/>
        <v>-96555.097499999989</v>
      </c>
      <c r="J16" s="12">
        <f t="shared" si="0"/>
        <v>33178.565000000002</v>
      </c>
      <c r="K16" s="12">
        <f t="shared" si="0"/>
        <v>80272.3</v>
      </c>
      <c r="L16" s="12">
        <f t="shared" si="0"/>
        <v>-35662.5</v>
      </c>
      <c r="M16" s="12">
        <f t="shared" si="0"/>
        <v>-93044.68</v>
      </c>
      <c r="N16" s="12">
        <f t="shared" si="0"/>
        <v>52341.880000000005</v>
      </c>
      <c r="O16" s="12">
        <f t="shared" si="0"/>
        <v>-19780.8</v>
      </c>
      <c r="P16" s="12">
        <f t="shared" si="0"/>
        <v>-101253.7278125</v>
      </c>
      <c r="Q16" s="12">
        <f t="shared" si="0"/>
        <v>69046.089609375005</v>
      </c>
      <c r="R16" s="12">
        <f t="shared" si="0"/>
        <v>-15494.443910156246</v>
      </c>
      <c r="S16" s="12">
        <f t="shared" si="0"/>
        <v>-100111.19510566408</v>
      </c>
      <c r="T16" s="12">
        <f t="shared" si="0"/>
        <v>68844.956139052738</v>
      </c>
      <c r="U16" s="12">
        <f t="shared" si="0"/>
        <v>-15698.092053994627</v>
      </c>
      <c r="V16" s="12">
        <f t="shared" si="0"/>
        <v>-100694.58365669435</v>
      </c>
      <c r="W16" s="12">
        <f t="shared" si="0"/>
        <v>68258.795160470909</v>
      </c>
      <c r="X16" s="12">
        <f t="shared" si="0"/>
        <v>-16739.684081505526</v>
      </c>
      <c r="Y16" s="12">
        <f t="shared" si="0"/>
        <v>-101814.65228558081</v>
      </c>
      <c r="Z16" s="12">
        <f t="shared" si="0"/>
        <v>53874.052100140136</v>
      </c>
      <c r="AA16" s="12">
        <f t="shared" si="0"/>
        <v>-18168.012044852847</v>
      </c>
      <c r="AB16" s="12">
        <f t="shared" si="0"/>
        <v>-131672.77864709546</v>
      </c>
      <c r="AC16" s="12">
        <f t="shared" si="0"/>
        <v>93296.575420549721</v>
      </c>
      <c r="AD16" s="12">
        <f t="shared" si="0"/>
        <v>-20286.274808422764</v>
      </c>
      <c r="AE16" s="12">
        <f t="shared" si="0"/>
        <v>-133945.97754884392</v>
      </c>
      <c r="AF16" s="12">
        <f t="shared" si="0"/>
        <v>90868.23557371393</v>
      </c>
      <c r="AG16" s="12">
        <f t="shared" si="0"/>
        <v>-22945.390647600412</v>
      </c>
      <c r="AH16" s="12">
        <f t="shared" ref="AH16:BI16" si="1">AH11+AH12+AH13+AH14</f>
        <v>-136685.25517998045</v>
      </c>
      <c r="AI16" s="12">
        <f t="shared" si="1"/>
        <v>87822.299061020574</v>
      </c>
      <c r="AJ16" s="12">
        <f t="shared" si="1"/>
        <v>-25996.554985928451</v>
      </c>
      <c r="AK16" s="12">
        <f t="shared" si="1"/>
        <v>-140043.58873522482</v>
      </c>
      <c r="AL16" s="12">
        <f t="shared" si="1"/>
        <v>42483.20557801392</v>
      </c>
      <c r="AM16" s="12">
        <f t="shared" si="1"/>
        <v>-32999.644080585407</v>
      </c>
      <c r="AN16" s="12">
        <f t="shared" si="1"/>
        <v>-175403.87228461466</v>
      </c>
      <c r="AO16" s="12">
        <f t="shared" si="1"/>
        <v>105194.06610115456</v>
      </c>
      <c r="AP16" s="12">
        <f t="shared" si="1"/>
        <v>-37370.285593787645</v>
      </c>
      <c r="AQ16" s="12">
        <f t="shared" si="1"/>
        <v>-180083.54987347708</v>
      </c>
      <c r="AR16" s="12">
        <f t="shared" si="1"/>
        <v>100129.56463284911</v>
      </c>
      <c r="AS16" s="12">
        <f t="shared" si="1"/>
        <v>-42669.157135508431</v>
      </c>
      <c r="AT16" s="12">
        <f t="shared" si="1"/>
        <v>-185541.77699228391</v>
      </c>
      <c r="AU16" s="12">
        <f t="shared" si="1"/>
        <v>94360.716158101917</v>
      </c>
      <c r="AV16" s="12">
        <f t="shared" si="1"/>
        <v>-48824.49403399296</v>
      </c>
      <c r="AW16" s="12">
        <f t="shared" si="1"/>
        <v>-191933.23173569262</v>
      </c>
      <c r="AX16" s="12">
        <f t="shared" si="1"/>
        <v>30726.716615022713</v>
      </c>
      <c r="AY16" s="12">
        <f t="shared" si="1"/>
        <v>-56376.680288601056</v>
      </c>
      <c r="AZ16" s="12">
        <f t="shared" si="1"/>
        <v>-227998.5096780312</v>
      </c>
      <c r="BA16" s="12">
        <f t="shared" si="1"/>
        <v>107522.9504630673</v>
      </c>
      <c r="BB16" s="12">
        <f t="shared" si="1"/>
        <v>-64489.069388779404</v>
      </c>
      <c r="BC16" s="12">
        <f t="shared" si="1"/>
        <v>-236873.80923321826</v>
      </c>
      <c r="BD16" s="12">
        <f t="shared" si="1"/>
        <v>98482.939930120716</v>
      </c>
      <c r="BE16" s="12">
        <f t="shared" si="1"/>
        <v>-74067.084448373294</v>
      </c>
      <c r="BF16" s="12">
        <f t="shared" si="1"/>
        <v>-246777.79704579178</v>
      </c>
      <c r="BG16" s="12">
        <f t="shared" si="1"/>
        <v>87888.614726918458</v>
      </c>
      <c r="BH16" s="12">
        <f t="shared" si="1"/>
        <v>-85206.209911735437</v>
      </c>
      <c r="BI16" s="12">
        <f t="shared" si="1"/>
        <v>-258458.06578232232</v>
      </c>
    </row>
    <row r="18" spans="1:61" ht="15" customHeight="1" x14ac:dyDescent="0.35">
      <c r="A18" s="10" t="s">
        <v>334</v>
      </c>
      <c r="B18" s="12">
        <f t="shared" ref="B18:AG18" si="2">B7+B8+B16</f>
        <v>-53768.01999999999</v>
      </c>
      <c r="C18" s="12">
        <f t="shared" si="2"/>
        <v>-18564.53</v>
      </c>
      <c r="D18" s="12">
        <f t="shared" si="2"/>
        <v>18977.725000000002</v>
      </c>
      <c r="E18" s="12">
        <f t="shared" si="2"/>
        <v>26169.132499999992</v>
      </c>
      <c r="F18" s="12">
        <f t="shared" si="2"/>
        <v>-5023.5924999999916</v>
      </c>
      <c r="G18" s="12">
        <f t="shared" si="2"/>
        <v>15814.342499999999</v>
      </c>
      <c r="H18" s="12">
        <f t="shared" si="2"/>
        <v>3779.4924999999967</v>
      </c>
      <c r="I18" s="12">
        <f t="shared" si="2"/>
        <v>-30587.94249999999</v>
      </c>
      <c r="J18" s="12">
        <f t="shared" si="2"/>
        <v>55590.565000000002</v>
      </c>
      <c r="K18" s="12">
        <f t="shared" si="2"/>
        <v>38588.14</v>
      </c>
      <c r="L18" s="12">
        <f t="shared" si="2"/>
        <v>-58826.66</v>
      </c>
      <c r="M18" s="12">
        <f t="shared" si="2"/>
        <v>-73128.62</v>
      </c>
      <c r="N18" s="12">
        <f t="shared" si="2"/>
        <v>33467.380000000005</v>
      </c>
      <c r="O18" s="12">
        <f t="shared" si="2"/>
        <v>-23439.16499999999</v>
      </c>
      <c r="P18" s="12">
        <f t="shared" si="2"/>
        <v>-62631.011250000018</v>
      </c>
      <c r="Q18" s="12">
        <f t="shared" si="2"/>
        <v>88469.674999999988</v>
      </c>
      <c r="R18" s="12">
        <f t="shared" si="2"/>
        <v>14791.109750000014</v>
      </c>
      <c r="S18" s="12">
        <f t="shared" si="2"/>
        <v>-28845.926762500036</v>
      </c>
      <c r="T18" s="12">
        <f t="shared" si="2"/>
        <v>120878.292899375</v>
      </c>
      <c r="U18" s="12">
        <f t="shared" si="2"/>
        <v>47156.868544343743</v>
      </c>
      <c r="V18" s="12">
        <f t="shared" si="2"/>
        <v>3387.0259715609573</v>
      </c>
      <c r="W18" s="12">
        <f t="shared" si="2"/>
        <v>153347.09027013896</v>
      </c>
      <c r="X18" s="12">
        <f t="shared" si="2"/>
        <v>79754.358783645934</v>
      </c>
      <c r="Y18" s="12">
        <f t="shared" si="2"/>
        <v>36540.033722828201</v>
      </c>
      <c r="Z18" s="12">
        <f t="shared" si="2"/>
        <v>134645.99440896959</v>
      </c>
      <c r="AA18" s="12">
        <f t="shared" si="2"/>
        <v>74860.094129418096</v>
      </c>
      <c r="AB18" s="12">
        <f t="shared" si="2"/>
        <v>14288.89158588904</v>
      </c>
      <c r="AC18" s="12">
        <f t="shared" si="2"/>
        <v>212134.27191518343</v>
      </c>
      <c r="AD18" s="12">
        <f t="shared" si="2"/>
        <v>112155.89726094263</v>
      </c>
      <c r="AE18" s="12">
        <f t="shared" si="2"/>
        <v>52883.86187398975</v>
      </c>
      <c r="AF18" s="12">
        <f t="shared" si="2"/>
        <v>252133.38171768931</v>
      </c>
      <c r="AG18" s="12">
        <f t="shared" si="2"/>
        <v>153647.0835535737</v>
      </c>
      <c r="AH18" s="12">
        <f t="shared" ref="AH18:BI18" si="3">AH7+AH8+AH16</f>
        <v>96062.553481252369</v>
      </c>
      <c r="AI18" s="12">
        <f t="shared" si="3"/>
        <v>296994.30490531505</v>
      </c>
      <c r="AJ18" s="12">
        <f t="shared" si="3"/>
        <v>200475.98590058071</v>
      </c>
      <c r="AK18" s="12">
        <f t="shared" si="3"/>
        <v>144777.1859456099</v>
      </c>
      <c r="AL18" s="12">
        <f t="shared" si="3"/>
        <v>221121.39699289034</v>
      </c>
      <c r="AM18" s="12">
        <f t="shared" si="3"/>
        <v>166346.81509253482</v>
      </c>
      <c r="AN18" s="12">
        <f t="shared" si="3"/>
        <v>95853.570034661563</v>
      </c>
      <c r="AO18" s="12">
        <f t="shared" si="3"/>
        <v>348713.70672389452</v>
      </c>
      <c r="AP18" s="12">
        <f t="shared" si="3"/>
        <v>229722.49824758936</v>
      </c>
      <c r="AQ18" s="12">
        <f t="shared" si="3"/>
        <v>161999.18434746878</v>
      </c>
      <c r="AR18" s="12">
        <f t="shared" si="3"/>
        <v>417825.49275234231</v>
      </c>
      <c r="AS18" s="12">
        <f t="shared" si="3"/>
        <v>302103.69957745943</v>
      </c>
      <c r="AT18" s="12">
        <f t="shared" si="3"/>
        <v>237817.34874383229</v>
      </c>
      <c r="AU18" s="12">
        <f t="shared" si="3"/>
        <v>497138.69036852382</v>
      </c>
      <c r="AV18" s="12">
        <f t="shared" si="3"/>
        <v>385103.09807445004</v>
      </c>
      <c r="AW18" s="12">
        <f t="shared" si="3"/>
        <v>324800.86516567261</v>
      </c>
      <c r="AX18" s="12">
        <f t="shared" si="3"/>
        <v>380817.46336145618</v>
      </c>
      <c r="AY18" s="12">
        <f t="shared" si="3"/>
        <v>329712.47559202916</v>
      </c>
      <c r="AZ18" s="12">
        <f t="shared" si="3"/>
        <v>256003.86716850544</v>
      </c>
      <c r="BA18" s="12">
        <f t="shared" si="3"/>
        <v>570687.02869880572</v>
      </c>
      <c r="BB18" s="12">
        <f t="shared" si="3"/>
        <v>440025.45068062079</v>
      </c>
      <c r="BC18" s="12">
        <f t="shared" si="3"/>
        <v>371452.2331365273</v>
      </c>
      <c r="BD18" s="12">
        <f t="shared" si="3"/>
        <v>691945.45209022833</v>
      </c>
      <c r="BE18" s="12">
        <f t="shared" si="3"/>
        <v>567085.7243666146</v>
      </c>
      <c r="BF18" s="12">
        <f t="shared" si="3"/>
        <v>504725.67063182069</v>
      </c>
      <c r="BG18" s="12">
        <f t="shared" si="3"/>
        <v>831546.37658528634</v>
      </c>
      <c r="BH18" s="12">
        <f t="shared" si="3"/>
        <v>713522.37221142603</v>
      </c>
      <c r="BI18" s="12">
        <f t="shared" si="3"/>
        <v>658357.36899387231</v>
      </c>
    </row>
    <row r="20" spans="1:61" ht="15" customHeight="1" x14ac:dyDescent="0.35">
      <c r="A20" s="5" t="s">
        <v>335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</row>
    <row r="21" spans="1:61" ht="15" customHeight="1" x14ac:dyDescent="0.35">
      <c r="A21" s="7" t="s">
        <v>336</v>
      </c>
      <c r="B21" s="9">
        <f>-'Drivers &amp; Assumptions'!C63</f>
        <v>-1000</v>
      </c>
      <c r="C21" s="9">
        <f>-'Drivers &amp; Assumptions'!C63</f>
        <v>-1000</v>
      </c>
      <c r="D21" s="9">
        <f>-'Drivers &amp; Assumptions'!C63</f>
        <v>-1000</v>
      </c>
      <c r="E21" s="9">
        <f>-'Drivers &amp; Assumptions'!C63</f>
        <v>-1000</v>
      </c>
      <c r="F21" s="9">
        <f>-'Drivers &amp; Assumptions'!C63</f>
        <v>-1000</v>
      </c>
      <c r="G21" s="9">
        <f>-'Drivers &amp; Assumptions'!C63</f>
        <v>-1000</v>
      </c>
      <c r="H21" s="9">
        <f>-'Drivers &amp; Assumptions'!C63</f>
        <v>-1000</v>
      </c>
      <c r="I21" s="9">
        <f>-'Drivers &amp; Assumptions'!C63</f>
        <v>-1000</v>
      </c>
      <c r="J21" s="9">
        <f>-'Drivers &amp; Assumptions'!C63</f>
        <v>-1000</v>
      </c>
      <c r="K21" s="9">
        <f>-'Drivers &amp; Assumptions'!C63</f>
        <v>-1000</v>
      </c>
      <c r="L21" s="9">
        <f>-'Drivers &amp; Assumptions'!C63</f>
        <v>-1000</v>
      </c>
      <c r="M21" s="9">
        <f>-'Drivers &amp; Assumptions'!C63</f>
        <v>-1000</v>
      </c>
      <c r="N21" s="9">
        <f>-'Drivers &amp; Assumptions'!C63</f>
        <v>-1000</v>
      </c>
      <c r="O21" s="9">
        <f>-'Drivers &amp; Assumptions'!C63</f>
        <v>-1000</v>
      </c>
      <c r="P21" s="9">
        <f>-'Drivers &amp; Assumptions'!C63</f>
        <v>-1000</v>
      </c>
      <c r="Q21" s="9">
        <f>-'Drivers &amp; Assumptions'!C63</f>
        <v>-1000</v>
      </c>
      <c r="R21" s="9">
        <f>-'Drivers &amp; Assumptions'!C63</f>
        <v>-1000</v>
      </c>
      <c r="S21" s="9">
        <f>-'Drivers &amp; Assumptions'!C63</f>
        <v>-1000</v>
      </c>
      <c r="T21" s="9">
        <f>-'Drivers &amp; Assumptions'!C63</f>
        <v>-1000</v>
      </c>
      <c r="U21" s="9">
        <f>-'Drivers &amp; Assumptions'!C63</f>
        <v>-1000</v>
      </c>
      <c r="V21" s="9">
        <f>-'Drivers &amp; Assumptions'!C63</f>
        <v>-1000</v>
      </c>
      <c r="W21" s="9">
        <f>-'Drivers &amp; Assumptions'!C63</f>
        <v>-1000</v>
      </c>
      <c r="X21" s="9">
        <f>-'Drivers &amp; Assumptions'!C63</f>
        <v>-1000</v>
      </c>
      <c r="Y21" s="9">
        <f>-'Drivers &amp; Assumptions'!C63</f>
        <v>-1000</v>
      </c>
      <c r="Z21" s="9">
        <f>-'Drivers &amp; Assumptions'!C63</f>
        <v>-1000</v>
      </c>
      <c r="AA21" s="9">
        <f>-'Drivers &amp; Assumptions'!C63</f>
        <v>-1000</v>
      </c>
      <c r="AB21" s="9">
        <f>-'Drivers &amp; Assumptions'!C63</f>
        <v>-1000</v>
      </c>
      <c r="AC21" s="9">
        <f>-'Drivers &amp; Assumptions'!C63</f>
        <v>-1000</v>
      </c>
      <c r="AD21" s="9">
        <f>-'Drivers &amp; Assumptions'!C63</f>
        <v>-1000</v>
      </c>
      <c r="AE21" s="9">
        <f>-'Drivers &amp; Assumptions'!C63</f>
        <v>-1000</v>
      </c>
      <c r="AF21" s="9">
        <f>-'Drivers &amp; Assumptions'!C63</f>
        <v>-1000</v>
      </c>
      <c r="AG21" s="9">
        <f>-'Drivers &amp; Assumptions'!C63</f>
        <v>-1000</v>
      </c>
      <c r="AH21" s="9">
        <f>-'Drivers &amp; Assumptions'!C63</f>
        <v>-1000</v>
      </c>
      <c r="AI21" s="9">
        <f>-'Drivers &amp; Assumptions'!C63</f>
        <v>-1000</v>
      </c>
      <c r="AJ21" s="9">
        <f>-'Drivers &amp; Assumptions'!C63</f>
        <v>-1000</v>
      </c>
      <c r="AK21" s="9">
        <f>-'Drivers &amp; Assumptions'!C63</f>
        <v>-1000</v>
      </c>
      <c r="AL21" s="9">
        <f>-'Drivers &amp; Assumptions'!C63</f>
        <v>-1000</v>
      </c>
      <c r="AM21" s="9">
        <f>-'Drivers &amp; Assumptions'!C63</f>
        <v>-1000</v>
      </c>
      <c r="AN21" s="9">
        <f>-'Drivers &amp; Assumptions'!C63</f>
        <v>-1000</v>
      </c>
      <c r="AO21" s="9">
        <f>-'Drivers &amp; Assumptions'!C63</f>
        <v>-1000</v>
      </c>
      <c r="AP21" s="9">
        <f>-'Drivers &amp; Assumptions'!C63</f>
        <v>-1000</v>
      </c>
      <c r="AQ21" s="9">
        <f>-'Drivers &amp; Assumptions'!C63</f>
        <v>-1000</v>
      </c>
      <c r="AR21" s="9">
        <f>-'Drivers &amp; Assumptions'!C63</f>
        <v>-1000</v>
      </c>
      <c r="AS21" s="9">
        <f>-'Drivers &amp; Assumptions'!C63</f>
        <v>-1000</v>
      </c>
      <c r="AT21" s="9">
        <f>-'Drivers &amp; Assumptions'!C63</f>
        <v>-1000</v>
      </c>
      <c r="AU21" s="9">
        <f>-'Drivers &amp; Assumptions'!C63</f>
        <v>-1000</v>
      </c>
      <c r="AV21" s="9">
        <f>-'Drivers &amp; Assumptions'!C63</f>
        <v>-1000</v>
      </c>
      <c r="AW21" s="9">
        <f>-'Drivers &amp; Assumptions'!C63</f>
        <v>-1000</v>
      </c>
      <c r="AX21" s="9">
        <f>-'Drivers &amp; Assumptions'!C63</f>
        <v>-1000</v>
      </c>
      <c r="AY21" s="9">
        <f>-'Drivers &amp; Assumptions'!C63</f>
        <v>-1000</v>
      </c>
      <c r="AZ21" s="9">
        <f>-'Drivers &amp; Assumptions'!C63</f>
        <v>-1000</v>
      </c>
      <c r="BA21" s="9">
        <f>-'Drivers &amp; Assumptions'!C63</f>
        <v>-1000</v>
      </c>
      <c r="BB21" s="9">
        <f>-'Drivers &amp; Assumptions'!C63</f>
        <v>-1000</v>
      </c>
      <c r="BC21" s="9">
        <f>-'Drivers &amp; Assumptions'!C63</f>
        <v>-1000</v>
      </c>
      <c r="BD21" s="9">
        <f>-'Drivers &amp; Assumptions'!C63</f>
        <v>-1000</v>
      </c>
      <c r="BE21" s="9">
        <f>-'Drivers &amp; Assumptions'!C63</f>
        <v>-1000</v>
      </c>
      <c r="BF21" s="9">
        <f>-'Drivers &amp; Assumptions'!C63</f>
        <v>-1000</v>
      </c>
      <c r="BG21" s="9">
        <f>-'Drivers &amp; Assumptions'!C63</f>
        <v>-1000</v>
      </c>
      <c r="BH21" s="9">
        <f>-'Drivers &amp; Assumptions'!C63</f>
        <v>-1000</v>
      </c>
      <c r="BI21" s="9">
        <f>-'Drivers &amp; Assumptions'!C63</f>
        <v>-1000</v>
      </c>
    </row>
    <row r="22" spans="1:61" ht="15" customHeight="1" x14ac:dyDescent="0.35">
      <c r="A22" s="10" t="s">
        <v>337</v>
      </c>
      <c r="B22" s="12">
        <f t="shared" ref="B22:AG22" si="4">B21</f>
        <v>-1000</v>
      </c>
      <c r="C22" s="12">
        <f t="shared" si="4"/>
        <v>-1000</v>
      </c>
      <c r="D22" s="12">
        <f t="shared" si="4"/>
        <v>-1000</v>
      </c>
      <c r="E22" s="12">
        <f t="shared" si="4"/>
        <v>-1000</v>
      </c>
      <c r="F22" s="12">
        <f t="shared" si="4"/>
        <v>-1000</v>
      </c>
      <c r="G22" s="12">
        <f t="shared" si="4"/>
        <v>-1000</v>
      </c>
      <c r="H22" s="12">
        <f t="shared" si="4"/>
        <v>-1000</v>
      </c>
      <c r="I22" s="12">
        <f t="shared" si="4"/>
        <v>-1000</v>
      </c>
      <c r="J22" s="12">
        <f t="shared" si="4"/>
        <v>-1000</v>
      </c>
      <c r="K22" s="12">
        <f t="shared" si="4"/>
        <v>-1000</v>
      </c>
      <c r="L22" s="12">
        <f t="shared" si="4"/>
        <v>-1000</v>
      </c>
      <c r="M22" s="12">
        <f t="shared" si="4"/>
        <v>-1000</v>
      </c>
      <c r="N22" s="12">
        <f t="shared" si="4"/>
        <v>-1000</v>
      </c>
      <c r="O22" s="12">
        <f t="shared" si="4"/>
        <v>-1000</v>
      </c>
      <c r="P22" s="12">
        <f t="shared" si="4"/>
        <v>-1000</v>
      </c>
      <c r="Q22" s="12">
        <f t="shared" si="4"/>
        <v>-1000</v>
      </c>
      <c r="R22" s="12">
        <f t="shared" si="4"/>
        <v>-1000</v>
      </c>
      <c r="S22" s="12">
        <f t="shared" si="4"/>
        <v>-1000</v>
      </c>
      <c r="T22" s="12">
        <f t="shared" si="4"/>
        <v>-1000</v>
      </c>
      <c r="U22" s="12">
        <f t="shared" si="4"/>
        <v>-1000</v>
      </c>
      <c r="V22" s="12">
        <f t="shared" si="4"/>
        <v>-1000</v>
      </c>
      <c r="W22" s="12">
        <f t="shared" si="4"/>
        <v>-1000</v>
      </c>
      <c r="X22" s="12">
        <f t="shared" si="4"/>
        <v>-1000</v>
      </c>
      <c r="Y22" s="12">
        <f t="shared" si="4"/>
        <v>-1000</v>
      </c>
      <c r="Z22" s="12">
        <f t="shared" si="4"/>
        <v>-1000</v>
      </c>
      <c r="AA22" s="12">
        <f t="shared" si="4"/>
        <v>-1000</v>
      </c>
      <c r="AB22" s="12">
        <f t="shared" si="4"/>
        <v>-1000</v>
      </c>
      <c r="AC22" s="12">
        <f t="shared" si="4"/>
        <v>-1000</v>
      </c>
      <c r="AD22" s="12">
        <f t="shared" si="4"/>
        <v>-1000</v>
      </c>
      <c r="AE22" s="12">
        <f t="shared" si="4"/>
        <v>-1000</v>
      </c>
      <c r="AF22" s="12">
        <f t="shared" si="4"/>
        <v>-1000</v>
      </c>
      <c r="AG22" s="12">
        <f t="shared" si="4"/>
        <v>-1000</v>
      </c>
      <c r="AH22" s="12">
        <f t="shared" ref="AH22:BI22" si="5">AH21</f>
        <v>-1000</v>
      </c>
      <c r="AI22" s="12">
        <f t="shared" si="5"/>
        <v>-1000</v>
      </c>
      <c r="AJ22" s="12">
        <f t="shared" si="5"/>
        <v>-1000</v>
      </c>
      <c r="AK22" s="12">
        <f t="shared" si="5"/>
        <v>-1000</v>
      </c>
      <c r="AL22" s="12">
        <f t="shared" si="5"/>
        <v>-1000</v>
      </c>
      <c r="AM22" s="12">
        <f t="shared" si="5"/>
        <v>-1000</v>
      </c>
      <c r="AN22" s="12">
        <f t="shared" si="5"/>
        <v>-1000</v>
      </c>
      <c r="AO22" s="12">
        <f t="shared" si="5"/>
        <v>-1000</v>
      </c>
      <c r="AP22" s="12">
        <f t="shared" si="5"/>
        <v>-1000</v>
      </c>
      <c r="AQ22" s="12">
        <f t="shared" si="5"/>
        <v>-1000</v>
      </c>
      <c r="AR22" s="12">
        <f t="shared" si="5"/>
        <v>-1000</v>
      </c>
      <c r="AS22" s="12">
        <f t="shared" si="5"/>
        <v>-1000</v>
      </c>
      <c r="AT22" s="12">
        <f t="shared" si="5"/>
        <v>-1000</v>
      </c>
      <c r="AU22" s="12">
        <f t="shared" si="5"/>
        <v>-1000</v>
      </c>
      <c r="AV22" s="12">
        <f t="shared" si="5"/>
        <v>-1000</v>
      </c>
      <c r="AW22" s="12">
        <f t="shared" si="5"/>
        <v>-1000</v>
      </c>
      <c r="AX22" s="12">
        <f t="shared" si="5"/>
        <v>-1000</v>
      </c>
      <c r="AY22" s="12">
        <f t="shared" si="5"/>
        <v>-1000</v>
      </c>
      <c r="AZ22" s="12">
        <f t="shared" si="5"/>
        <v>-1000</v>
      </c>
      <c r="BA22" s="12">
        <f t="shared" si="5"/>
        <v>-1000</v>
      </c>
      <c r="BB22" s="12">
        <f t="shared" si="5"/>
        <v>-1000</v>
      </c>
      <c r="BC22" s="12">
        <f t="shared" si="5"/>
        <v>-1000</v>
      </c>
      <c r="BD22" s="12">
        <f t="shared" si="5"/>
        <v>-1000</v>
      </c>
      <c r="BE22" s="12">
        <f t="shared" si="5"/>
        <v>-1000</v>
      </c>
      <c r="BF22" s="12">
        <f t="shared" si="5"/>
        <v>-1000</v>
      </c>
      <c r="BG22" s="12">
        <f t="shared" si="5"/>
        <v>-1000</v>
      </c>
      <c r="BH22" s="12">
        <f t="shared" si="5"/>
        <v>-1000</v>
      </c>
      <c r="BI22" s="12">
        <f t="shared" si="5"/>
        <v>-1000</v>
      </c>
    </row>
    <row r="24" spans="1:61" ht="15" customHeight="1" x14ac:dyDescent="0.35">
      <c r="A24" s="5" t="s">
        <v>338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</row>
    <row r="25" spans="1:61" ht="15" customHeight="1" x14ac:dyDescent="0.35">
      <c r="A25" s="7" t="s">
        <v>339</v>
      </c>
      <c r="B25" s="20">
        <v>0</v>
      </c>
      <c r="C25" s="20">
        <v>0</v>
      </c>
      <c r="D25" s="20">
        <v>0</v>
      </c>
      <c r="E25" s="20">
        <v>0</v>
      </c>
      <c r="F25" s="20">
        <v>0</v>
      </c>
      <c r="G25" s="20">
        <v>0</v>
      </c>
      <c r="H25" s="20">
        <v>0</v>
      </c>
      <c r="I25" s="20">
        <v>0</v>
      </c>
      <c r="J25" s="20">
        <v>0</v>
      </c>
      <c r="K25" s="20">
        <v>0</v>
      </c>
      <c r="L25" s="20">
        <v>0</v>
      </c>
      <c r="M25" s="20">
        <v>0</v>
      </c>
      <c r="N25" s="20">
        <v>0</v>
      </c>
      <c r="O25" s="20">
        <v>0</v>
      </c>
      <c r="P25" s="20">
        <v>0</v>
      </c>
      <c r="Q25" s="20">
        <v>0</v>
      </c>
      <c r="R25" s="20">
        <v>0</v>
      </c>
      <c r="S25" s="20">
        <v>0</v>
      </c>
      <c r="T25" s="20">
        <v>0</v>
      </c>
      <c r="U25" s="20">
        <v>0</v>
      </c>
      <c r="V25" s="20">
        <v>0</v>
      </c>
      <c r="W25" s="20">
        <v>0</v>
      </c>
      <c r="X25" s="20">
        <v>0</v>
      </c>
      <c r="Y25" s="20">
        <v>0</v>
      </c>
      <c r="Z25" s="20">
        <v>0</v>
      </c>
      <c r="AA25" s="20">
        <v>0</v>
      </c>
      <c r="AB25" s="20">
        <v>0</v>
      </c>
      <c r="AC25" s="20">
        <v>0</v>
      </c>
      <c r="AD25" s="20">
        <v>0</v>
      </c>
      <c r="AE25" s="20">
        <v>0</v>
      </c>
      <c r="AF25" s="20">
        <v>0</v>
      </c>
      <c r="AG25" s="20">
        <v>0</v>
      </c>
      <c r="AH25" s="20">
        <v>0</v>
      </c>
      <c r="AI25" s="20">
        <v>0</v>
      </c>
      <c r="AJ25" s="20">
        <v>0</v>
      </c>
      <c r="AK25" s="20">
        <v>0</v>
      </c>
      <c r="AL25" s="20">
        <v>0</v>
      </c>
      <c r="AM25" s="20">
        <v>0</v>
      </c>
      <c r="AN25" s="20">
        <v>0</v>
      </c>
      <c r="AO25" s="20">
        <v>0</v>
      </c>
      <c r="AP25" s="20">
        <v>0</v>
      </c>
      <c r="AQ25" s="20">
        <v>0</v>
      </c>
      <c r="AR25" s="20">
        <v>0</v>
      </c>
      <c r="AS25" s="20">
        <v>0</v>
      </c>
      <c r="AT25" s="20">
        <v>0</v>
      </c>
      <c r="AU25" s="20">
        <v>0</v>
      </c>
      <c r="AV25" s="20">
        <v>0</v>
      </c>
      <c r="AW25" s="20">
        <v>0</v>
      </c>
      <c r="AX25" s="20">
        <v>0</v>
      </c>
      <c r="AY25" s="20">
        <v>0</v>
      </c>
      <c r="AZ25" s="20">
        <v>0</v>
      </c>
      <c r="BA25" s="20">
        <v>0</v>
      </c>
      <c r="BB25" s="20">
        <v>0</v>
      </c>
      <c r="BC25" s="20">
        <v>0</v>
      </c>
      <c r="BD25" s="20">
        <v>0</v>
      </c>
      <c r="BE25" s="20">
        <v>0</v>
      </c>
      <c r="BF25" s="20">
        <v>0</v>
      </c>
      <c r="BG25" s="20">
        <v>0</v>
      </c>
      <c r="BH25" s="20">
        <v>0</v>
      </c>
      <c r="BI25" s="20">
        <v>0</v>
      </c>
    </row>
    <row r="26" spans="1:61" ht="15" customHeight="1" x14ac:dyDescent="0.35">
      <c r="A26" s="10" t="s">
        <v>340</v>
      </c>
      <c r="B26" s="12">
        <f t="shared" ref="B26:AG26" si="6">B25</f>
        <v>0</v>
      </c>
      <c r="C26" s="12">
        <f t="shared" si="6"/>
        <v>0</v>
      </c>
      <c r="D26" s="12">
        <f t="shared" si="6"/>
        <v>0</v>
      </c>
      <c r="E26" s="12">
        <f t="shared" si="6"/>
        <v>0</v>
      </c>
      <c r="F26" s="12">
        <f t="shared" si="6"/>
        <v>0</v>
      </c>
      <c r="G26" s="12">
        <f t="shared" si="6"/>
        <v>0</v>
      </c>
      <c r="H26" s="12">
        <f t="shared" si="6"/>
        <v>0</v>
      </c>
      <c r="I26" s="12">
        <f t="shared" si="6"/>
        <v>0</v>
      </c>
      <c r="J26" s="12">
        <f t="shared" si="6"/>
        <v>0</v>
      </c>
      <c r="K26" s="12">
        <f t="shared" si="6"/>
        <v>0</v>
      </c>
      <c r="L26" s="12">
        <f t="shared" si="6"/>
        <v>0</v>
      </c>
      <c r="M26" s="12">
        <f t="shared" si="6"/>
        <v>0</v>
      </c>
      <c r="N26" s="12">
        <f t="shared" si="6"/>
        <v>0</v>
      </c>
      <c r="O26" s="12">
        <f t="shared" si="6"/>
        <v>0</v>
      </c>
      <c r="P26" s="12">
        <f t="shared" si="6"/>
        <v>0</v>
      </c>
      <c r="Q26" s="12">
        <f t="shared" si="6"/>
        <v>0</v>
      </c>
      <c r="R26" s="12">
        <f t="shared" si="6"/>
        <v>0</v>
      </c>
      <c r="S26" s="12">
        <f t="shared" si="6"/>
        <v>0</v>
      </c>
      <c r="T26" s="12">
        <f t="shared" si="6"/>
        <v>0</v>
      </c>
      <c r="U26" s="12">
        <f t="shared" si="6"/>
        <v>0</v>
      </c>
      <c r="V26" s="12">
        <f t="shared" si="6"/>
        <v>0</v>
      </c>
      <c r="W26" s="12">
        <f t="shared" si="6"/>
        <v>0</v>
      </c>
      <c r="X26" s="12">
        <f t="shared" si="6"/>
        <v>0</v>
      </c>
      <c r="Y26" s="12">
        <f t="shared" si="6"/>
        <v>0</v>
      </c>
      <c r="Z26" s="12">
        <f t="shared" si="6"/>
        <v>0</v>
      </c>
      <c r="AA26" s="12">
        <f t="shared" si="6"/>
        <v>0</v>
      </c>
      <c r="AB26" s="12">
        <f t="shared" si="6"/>
        <v>0</v>
      </c>
      <c r="AC26" s="12">
        <f t="shared" si="6"/>
        <v>0</v>
      </c>
      <c r="AD26" s="12">
        <f t="shared" si="6"/>
        <v>0</v>
      </c>
      <c r="AE26" s="12">
        <f t="shared" si="6"/>
        <v>0</v>
      </c>
      <c r="AF26" s="12">
        <f t="shared" si="6"/>
        <v>0</v>
      </c>
      <c r="AG26" s="12">
        <f t="shared" si="6"/>
        <v>0</v>
      </c>
      <c r="AH26" s="12">
        <f t="shared" ref="AH26:BI26" si="7">AH25</f>
        <v>0</v>
      </c>
      <c r="AI26" s="12">
        <f t="shared" si="7"/>
        <v>0</v>
      </c>
      <c r="AJ26" s="12">
        <f t="shared" si="7"/>
        <v>0</v>
      </c>
      <c r="AK26" s="12">
        <f t="shared" si="7"/>
        <v>0</v>
      </c>
      <c r="AL26" s="12">
        <f t="shared" si="7"/>
        <v>0</v>
      </c>
      <c r="AM26" s="12">
        <f t="shared" si="7"/>
        <v>0</v>
      </c>
      <c r="AN26" s="12">
        <f t="shared" si="7"/>
        <v>0</v>
      </c>
      <c r="AO26" s="12">
        <f t="shared" si="7"/>
        <v>0</v>
      </c>
      <c r="AP26" s="12">
        <f t="shared" si="7"/>
        <v>0</v>
      </c>
      <c r="AQ26" s="12">
        <f t="shared" si="7"/>
        <v>0</v>
      </c>
      <c r="AR26" s="12">
        <f t="shared" si="7"/>
        <v>0</v>
      </c>
      <c r="AS26" s="12">
        <f t="shared" si="7"/>
        <v>0</v>
      </c>
      <c r="AT26" s="12">
        <f t="shared" si="7"/>
        <v>0</v>
      </c>
      <c r="AU26" s="12">
        <f t="shared" si="7"/>
        <v>0</v>
      </c>
      <c r="AV26" s="12">
        <f t="shared" si="7"/>
        <v>0</v>
      </c>
      <c r="AW26" s="12">
        <f t="shared" si="7"/>
        <v>0</v>
      </c>
      <c r="AX26" s="12">
        <f t="shared" si="7"/>
        <v>0</v>
      </c>
      <c r="AY26" s="12">
        <f t="shared" si="7"/>
        <v>0</v>
      </c>
      <c r="AZ26" s="12">
        <f t="shared" si="7"/>
        <v>0</v>
      </c>
      <c r="BA26" s="12">
        <f t="shared" si="7"/>
        <v>0</v>
      </c>
      <c r="BB26" s="12">
        <f t="shared" si="7"/>
        <v>0</v>
      </c>
      <c r="BC26" s="12">
        <f t="shared" si="7"/>
        <v>0</v>
      </c>
      <c r="BD26" s="12">
        <f t="shared" si="7"/>
        <v>0</v>
      </c>
      <c r="BE26" s="12">
        <f t="shared" si="7"/>
        <v>0</v>
      </c>
      <c r="BF26" s="12">
        <f t="shared" si="7"/>
        <v>0</v>
      </c>
      <c r="BG26" s="12">
        <f t="shared" si="7"/>
        <v>0</v>
      </c>
      <c r="BH26" s="12">
        <f t="shared" si="7"/>
        <v>0</v>
      </c>
      <c r="BI26" s="12">
        <f t="shared" si="7"/>
        <v>0</v>
      </c>
    </row>
    <row r="28" spans="1:61" ht="15" customHeight="1" x14ac:dyDescent="0.35">
      <c r="A28" s="10" t="s">
        <v>341</v>
      </c>
      <c r="B28" s="12">
        <f t="shared" ref="B28:AG28" si="8">B18+B22+B26</f>
        <v>-54768.01999999999</v>
      </c>
      <c r="C28" s="12">
        <f t="shared" si="8"/>
        <v>-19564.53</v>
      </c>
      <c r="D28" s="12">
        <f t="shared" si="8"/>
        <v>17977.725000000002</v>
      </c>
      <c r="E28" s="12">
        <f t="shared" si="8"/>
        <v>25169.132499999992</v>
      </c>
      <c r="F28" s="12">
        <f t="shared" si="8"/>
        <v>-6023.5924999999916</v>
      </c>
      <c r="G28" s="12">
        <f t="shared" si="8"/>
        <v>14814.342499999999</v>
      </c>
      <c r="H28" s="12">
        <f t="shared" si="8"/>
        <v>2779.4924999999967</v>
      </c>
      <c r="I28" s="12">
        <f t="shared" si="8"/>
        <v>-31587.94249999999</v>
      </c>
      <c r="J28" s="12">
        <f t="shared" si="8"/>
        <v>54590.565000000002</v>
      </c>
      <c r="K28" s="12">
        <f t="shared" si="8"/>
        <v>37588.14</v>
      </c>
      <c r="L28" s="12">
        <f t="shared" si="8"/>
        <v>-59826.66</v>
      </c>
      <c r="M28" s="12">
        <f t="shared" si="8"/>
        <v>-74128.62</v>
      </c>
      <c r="N28" s="12">
        <f t="shared" si="8"/>
        <v>32467.380000000005</v>
      </c>
      <c r="O28" s="12">
        <f t="shared" si="8"/>
        <v>-24439.16499999999</v>
      </c>
      <c r="P28" s="12">
        <f t="shared" si="8"/>
        <v>-63631.011250000018</v>
      </c>
      <c r="Q28" s="12">
        <f t="shared" si="8"/>
        <v>87469.674999999988</v>
      </c>
      <c r="R28" s="12">
        <f t="shared" si="8"/>
        <v>13791.109750000014</v>
      </c>
      <c r="S28" s="12">
        <f t="shared" si="8"/>
        <v>-29845.926762500036</v>
      </c>
      <c r="T28" s="12">
        <f t="shared" si="8"/>
        <v>119878.292899375</v>
      </c>
      <c r="U28" s="12">
        <f t="shared" si="8"/>
        <v>46156.868544343743</v>
      </c>
      <c r="V28" s="12">
        <f t="shared" si="8"/>
        <v>2387.0259715609573</v>
      </c>
      <c r="W28" s="12">
        <f t="shared" si="8"/>
        <v>152347.09027013896</v>
      </c>
      <c r="X28" s="12">
        <f t="shared" si="8"/>
        <v>78754.358783645934</v>
      </c>
      <c r="Y28" s="12">
        <f t="shared" si="8"/>
        <v>35540.033722828201</v>
      </c>
      <c r="Z28" s="12">
        <f t="shared" si="8"/>
        <v>133645.99440896959</v>
      </c>
      <c r="AA28" s="12">
        <f t="shared" si="8"/>
        <v>73860.094129418096</v>
      </c>
      <c r="AB28" s="12">
        <f t="shared" si="8"/>
        <v>13288.89158588904</v>
      </c>
      <c r="AC28" s="12">
        <f t="shared" si="8"/>
        <v>211134.27191518343</v>
      </c>
      <c r="AD28" s="12">
        <f t="shared" si="8"/>
        <v>111155.89726094263</v>
      </c>
      <c r="AE28" s="12">
        <f t="shared" si="8"/>
        <v>51883.86187398975</v>
      </c>
      <c r="AF28" s="12">
        <f t="shared" si="8"/>
        <v>251133.38171768931</v>
      </c>
      <c r="AG28" s="12">
        <f t="shared" si="8"/>
        <v>152647.0835535737</v>
      </c>
      <c r="AH28" s="12">
        <f t="shared" ref="AH28:BI28" si="9">AH18+AH22+AH26</f>
        <v>95062.553481252369</v>
      </c>
      <c r="AI28" s="12">
        <f t="shared" si="9"/>
        <v>295994.30490531505</v>
      </c>
      <c r="AJ28" s="12">
        <f t="shared" si="9"/>
        <v>199475.98590058071</v>
      </c>
      <c r="AK28" s="12">
        <f t="shared" si="9"/>
        <v>143777.1859456099</v>
      </c>
      <c r="AL28" s="12">
        <f t="shared" si="9"/>
        <v>220121.39699289034</v>
      </c>
      <c r="AM28" s="12">
        <f t="shared" si="9"/>
        <v>165346.81509253482</v>
      </c>
      <c r="AN28" s="12">
        <f t="shared" si="9"/>
        <v>94853.570034661563</v>
      </c>
      <c r="AO28" s="12">
        <f t="shared" si="9"/>
        <v>347713.70672389452</v>
      </c>
      <c r="AP28" s="12">
        <f t="shared" si="9"/>
        <v>228722.49824758936</v>
      </c>
      <c r="AQ28" s="12">
        <f t="shared" si="9"/>
        <v>160999.18434746878</v>
      </c>
      <c r="AR28" s="12">
        <f t="shared" si="9"/>
        <v>416825.49275234231</v>
      </c>
      <c r="AS28" s="12">
        <f t="shared" si="9"/>
        <v>301103.69957745943</v>
      </c>
      <c r="AT28" s="12">
        <f t="shared" si="9"/>
        <v>236817.34874383229</v>
      </c>
      <c r="AU28" s="12">
        <f t="shared" si="9"/>
        <v>496138.69036852382</v>
      </c>
      <c r="AV28" s="12">
        <f t="shared" si="9"/>
        <v>384103.09807445004</v>
      </c>
      <c r="AW28" s="12">
        <f t="shared" si="9"/>
        <v>323800.86516567261</v>
      </c>
      <c r="AX28" s="12">
        <f t="shared" si="9"/>
        <v>379817.46336145618</v>
      </c>
      <c r="AY28" s="12">
        <f t="shared" si="9"/>
        <v>328712.47559202916</v>
      </c>
      <c r="AZ28" s="12">
        <f t="shared" si="9"/>
        <v>255003.86716850544</v>
      </c>
      <c r="BA28" s="12">
        <f t="shared" si="9"/>
        <v>569687.02869880572</v>
      </c>
      <c r="BB28" s="12">
        <f t="shared" si="9"/>
        <v>439025.45068062079</v>
      </c>
      <c r="BC28" s="12">
        <f t="shared" si="9"/>
        <v>370452.2331365273</v>
      </c>
      <c r="BD28" s="12">
        <f t="shared" si="9"/>
        <v>690945.45209022833</v>
      </c>
      <c r="BE28" s="12">
        <f t="shared" si="9"/>
        <v>566085.7243666146</v>
      </c>
      <c r="BF28" s="12">
        <f t="shared" si="9"/>
        <v>503725.67063182069</v>
      </c>
      <c r="BG28" s="12">
        <f t="shared" si="9"/>
        <v>830546.37658528634</v>
      </c>
      <c r="BH28" s="12">
        <f t="shared" si="9"/>
        <v>712522.37221142603</v>
      </c>
      <c r="BI28" s="12">
        <f t="shared" si="9"/>
        <v>657357.36899387231</v>
      </c>
    </row>
    <row r="29" spans="1:61" ht="15" customHeight="1" x14ac:dyDescent="0.35">
      <c r="A29" s="7" t="s">
        <v>137</v>
      </c>
      <c r="B29" s="38">
        <f>'Drivers &amp; Assumptions'!C60</f>
        <v>100000</v>
      </c>
      <c r="C29" s="9">
        <f t="shared" ref="C29:AH29" si="10">B30</f>
        <v>45231.98000000001</v>
      </c>
      <c r="D29" s="9">
        <f t="shared" si="10"/>
        <v>25667.450000000012</v>
      </c>
      <c r="E29" s="9">
        <f t="shared" si="10"/>
        <v>43645.175000000017</v>
      </c>
      <c r="F29" s="9">
        <f t="shared" si="10"/>
        <v>68814.30750000001</v>
      </c>
      <c r="G29" s="9">
        <f t="shared" si="10"/>
        <v>62790.715000000018</v>
      </c>
      <c r="H29" s="9">
        <f t="shared" si="10"/>
        <v>77605.057500000024</v>
      </c>
      <c r="I29" s="9">
        <f t="shared" si="10"/>
        <v>80384.550000000017</v>
      </c>
      <c r="J29" s="9">
        <f t="shared" si="10"/>
        <v>48796.607500000027</v>
      </c>
      <c r="K29" s="9">
        <f t="shared" si="10"/>
        <v>103387.17250000003</v>
      </c>
      <c r="L29" s="9">
        <f t="shared" si="10"/>
        <v>140975.31250000003</v>
      </c>
      <c r="M29" s="9">
        <f t="shared" si="10"/>
        <v>81148.652500000026</v>
      </c>
      <c r="N29" s="9">
        <f t="shared" si="10"/>
        <v>7020.0325000000303</v>
      </c>
      <c r="O29" s="9">
        <f t="shared" si="10"/>
        <v>39487.412500000035</v>
      </c>
      <c r="P29" s="9">
        <f t="shared" si="10"/>
        <v>15048.247500000045</v>
      </c>
      <c r="Q29" s="9">
        <f t="shared" si="10"/>
        <v>-48582.763749999969</v>
      </c>
      <c r="R29" s="9">
        <f t="shared" si="10"/>
        <v>38886.911250000019</v>
      </c>
      <c r="S29" s="9">
        <f t="shared" si="10"/>
        <v>52678.021000000037</v>
      </c>
      <c r="T29" s="9">
        <f t="shared" si="10"/>
        <v>22832.094237500001</v>
      </c>
      <c r="U29" s="9">
        <f t="shared" si="10"/>
        <v>142710.38713687501</v>
      </c>
      <c r="V29" s="9">
        <f t="shared" si="10"/>
        <v>188867.25568121875</v>
      </c>
      <c r="W29" s="9">
        <f t="shared" si="10"/>
        <v>191254.28165277973</v>
      </c>
      <c r="X29" s="9">
        <f t="shared" si="10"/>
        <v>343601.37192291871</v>
      </c>
      <c r="Y29" s="9">
        <f t="shared" si="10"/>
        <v>422355.73070656462</v>
      </c>
      <c r="Z29" s="9">
        <f t="shared" si="10"/>
        <v>457895.76442939282</v>
      </c>
      <c r="AA29" s="9">
        <f t="shared" si="10"/>
        <v>591541.75883836241</v>
      </c>
      <c r="AB29" s="9">
        <f t="shared" si="10"/>
        <v>665401.85296778055</v>
      </c>
      <c r="AC29" s="9">
        <f t="shared" si="10"/>
        <v>678690.74455366959</v>
      </c>
      <c r="AD29" s="9">
        <f t="shared" si="10"/>
        <v>889825.01646885299</v>
      </c>
      <c r="AE29" s="9">
        <f t="shared" si="10"/>
        <v>1000980.9137297956</v>
      </c>
      <c r="AF29" s="9">
        <f t="shared" si="10"/>
        <v>1052864.7756037854</v>
      </c>
      <c r="AG29" s="9">
        <f t="shared" si="10"/>
        <v>1303998.1573214747</v>
      </c>
      <c r="AH29" s="9">
        <f t="shared" si="10"/>
        <v>1456645.2408750486</v>
      </c>
      <c r="AI29" s="9">
        <f t="shared" ref="AI29:BI29" si="11">AH30</f>
        <v>1551707.794356301</v>
      </c>
      <c r="AJ29" s="9">
        <f t="shared" si="11"/>
        <v>1847702.0992616159</v>
      </c>
      <c r="AK29" s="9">
        <f t="shared" si="11"/>
        <v>2047178.0851621965</v>
      </c>
      <c r="AL29" s="9">
        <f t="shared" si="11"/>
        <v>2190955.2711078064</v>
      </c>
      <c r="AM29" s="9">
        <f t="shared" si="11"/>
        <v>2411076.6681006965</v>
      </c>
      <c r="AN29" s="9">
        <f t="shared" si="11"/>
        <v>2576423.4831932313</v>
      </c>
      <c r="AO29" s="9">
        <f t="shared" si="11"/>
        <v>2671277.0532278931</v>
      </c>
      <c r="AP29" s="9">
        <f t="shared" si="11"/>
        <v>3018990.7599517875</v>
      </c>
      <c r="AQ29" s="9">
        <f t="shared" si="11"/>
        <v>3247713.258199377</v>
      </c>
      <c r="AR29" s="9">
        <f t="shared" si="11"/>
        <v>3408712.4425468459</v>
      </c>
      <c r="AS29" s="9">
        <f t="shared" si="11"/>
        <v>3825537.9352991884</v>
      </c>
      <c r="AT29" s="9">
        <f t="shared" si="11"/>
        <v>4126641.634876648</v>
      </c>
      <c r="AU29" s="9">
        <f t="shared" si="11"/>
        <v>4363458.9836204806</v>
      </c>
      <c r="AV29" s="9">
        <f t="shared" si="11"/>
        <v>4859597.6739890045</v>
      </c>
      <c r="AW29" s="9">
        <f t="shared" si="11"/>
        <v>5243700.7720634546</v>
      </c>
      <c r="AX29" s="9">
        <f t="shared" si="11"/>
        <v>5567501.6372291269</v>
      </c>
      <c r="AY29" s="9">
        <f t="shared" si="11"/>
        <v>5947319.1005905829</v>
      </c>
      <c r="AZ29" s="9">
        <f t="shared" si="11"/>
        <v>6276031.5761826122</v>
      </c>
      <c r="BA29" s="9">
        <f t="shared" si="11"/>
        <v>6531035.4433511179</v>
      </c>
      <c r="BB29" s="9">
        <f t="shared" si="11"/>
        <v>7100722.4720499236</v>
      </c>
      <c r="BC29" s="9">
        <f t="shared" si="11"/>
        <v>7539747.9227305446</v>
      </c>
      <c r="BD29" s="9">
        <f t="shared" si="11"/>
        <v>7910200.1558670718</v>
      </c>
      <c r="BE29" s="9">
        <f t="shared" si="11"/>
        <v>8601145.6079572998</v>
      </c>
      <c r="BF29" s="9">
        <f t="shared" si="11"/>
        <v>9167231.3323239144</v>
      </c>
      <c r="BG29" s="9">
        <f t="shared" si="11"/>
        <v>9670957.0029557347</v>
      </c>
      <c r="BH29" s="9">
        <f t="shared" si="11"/>
        <v>10501503.379541021</v>
      </c>
      <c r="BI29" s="9">
        <f t="shared" si="11"/>
        <v>11214025.751752447</v>
      </c>
    </row>
    <row r="30" spans="1:61" ht="15" customHeight="1" x14ac:dyDescent="0.35">
      <c r="A30" s="10" t="s">
        <v>342</v>
      </c>
      <c r="B30" s="14">
        <f t="shared" ref="B30:AG30" si="12">B29+B28</f>
        <v>45231.98000000001</v>
      </c>
      <c r="C30" s="14">
        <f t="shared" si="12"/>
        <v>25667.450000000012</v>
      </c>
      <c r="D30" s="14">
        <f t="shared" si="12"/>
        <v>43645.175000000017</v>
      </c>
      <c r="E30" s="14">
        <f t="shared" si="12"/>
        <v>68814.30750000001</v>
      </c>
      <c r="F30" s="14">
        <f t="shared" si="12"/>
        <v>62790.715000000018</v>
      </c>
      <c r="G30" s="14">
        <f t="shared" si="12"/>
        <v>77605.057500000024</v>
      </c>
      <c r="H30" s="14">
        <f t="shared" si="12"/>
        <v>80384.550000000017</v>
      </c>
      <c r="I30" s="14">
        <f t="shared" si="12"/>
        <v>48796.607500000027</v>
      </c>
      <c r="J30" s="14">
        <f t="shared" si="12"/>
        <v>103387.17250000003</v>
      </c>
      <c r="K30" s="14">
        <f t="shared" si="12"/>
        <v>140975.31250000003</v>
      </c>
      <c r="L30" s="14">
        <f t="shared" si="12"/>
        <v>81148.652500000026</v>
      </c>
      <c r="M30" s="14">
        <f t="shared" si="12"/>
        <v>7020.0325000000303</v>
      </c>
      <c r="N30" s="14">
        <f t="shared" si="12"/>
        <v>39487.412500000035</v>
      </c>
      <c r="O30" s="14">
        <f t="shared" si="12"/>
        <v>15048.247500000045</v>
      </c>
      <c r="P30" s="14">
        <f t="shared" si="12"/>
        <v>-48582.763749999969</v>
      </c>
      <c r="Q30" s="14">
        <f t="shared" si="12"/>
        <v>38886.911250000019</v>
      </c>
      <c r="R30" s="14">
        <f t="shared" si="12"/>
        <v>52678.021000000037</v>
      </c>
      <c r="S30" s="14">
        <f t="shared" si="12"/>
        <v>22832.094237500001</v>
      </c>
      <c r="T30" s="14">
        <f t="shared" si="12"/>
        <v>142710.38713687501</v>
      </c>
      <c r="U30" s="14">
        <f t="shared" si="12"/>
        <v>188867.25568121875</v>
      </c>
      <c r="V30" s="14">
        <f t="shared" si="12"/>
        <v>191254.28165277973</v>
      </c>
      <c r="W30" s="14">
        <f t="shared" si="12"/>
        <v>343601.37192291871</v>
      </c>
      <c r="X30" s="14">
        <f t="shared" si="12"/>
        <v>422355.73070656462</v>
      </c>
      <c r="Y30" s="14">
        <f t="shared" si="12"/>
        <v>457895.76442939282</v>
      </c>
      <c r="Z30" s="14">
        <f t="shared" si="12"/>
        <v>591541.75883836241</v>
      </c>
      <c r="AA30" s="14">
        <f t="shared" si="12"/>
        <v>665401.85296778055</v>
      </c>
      <c r="AB30" s="14">
        <f t="shared" si="12"/>
        <v>678690.74455366959</v>
      </c>
      <c r="AC30" s="14">
        <f t="shared" si="12"/>
        <v>889825.01646885299</v>
      </c>
      <c r="AD30" s="14">
        <f t="shared" si="12"/>
        <v>1000980.9137297956</v>
      </c>
      <c r="AE30" s="14">
        <f t="shared" si="12"/>
        <v>1052864.7756037854</v>
      </c>
      <c r="AF30" s="14">
        <f t="shared" si="12"/>
        <v>1303998.1573214747</v>
      </c>
      <c r="AG30" s="14">
        <f t="shared" si="12"/>
        <v>1456645.2408750486</v>
      </c>
      <c r="AH30" s="14">
        <f t="shared" ref="AH30:BI30" si="13">AH29+AH28</f>
        <v>1551707.794356301</v>
      </c>
      <c r="AI30" s="14">
        <f t="shared" si="13"/>
        <v>1847702.0992616159</v>
      </c>
      <c r="AJ30" s="14">
        <f t="shared" si="13"/>
        <v>2047178.0851621965</v>
      </c>
      <c r="AK30" s="14">
        <f t="shared" si="13"/>
        <v>2190955.2711078064</v>
      </c>
      <c r="AL30" s="14">
        <f t="shared" si="13"/>
        <v>2411076.6681006965</v>
      </c>
      <c r="AM30" s="14">
        <f t="shared" si="13"/>
        <v>2576423.4831932313</v>
      </c>
      <c r="AN30" s="14">
        <f t="shared" si="13"/>
        <v>2671277.0532278931</v>
      </c>
      <c r="AO30" s="14">
        <f t="shared" si="13"/>
        <v>3018990.7599517875</v>
      </c>
      <c r="AP30" s="14">
        <f t="shared" si="13"/>
        <v>3247713.258199377</v>
      </c>
      <c r="AQ30" s="14">
        <f t="shared" si="13"/>
        <v>3408712.4425468459</v>
      </c>
      <c r="AR30" s="14">
        <f t="shared" si="13"/>
        <v>3825537.9352991884</v>
      </c>
      <c r="AS30" s="14">
        <f t="shared" si="13"/>
        <v>4126641.634876648</v>
      </c>
      <c r="AT30" s="14">
        <f t="shared" si="13"/>
        <v>4363458.9836204806</v>
      </c>
      <c r="AU30" s="14">
        <f t="shared" si="13"/>
        <v>4859597.6739890045</v>
      </c>
      <c r="AV30" s="14">
        <f t="shared" si="13"/>
        <v>5243700.7720634546</v>
      </c>
      <c r="AW30" s="14">
        <f t="shared" si="13"/>
        <v>5567501.6372291269</v>
      </c>
      <c r="AX30" s="14">
        <f t="shared" si="13"/>
        <v>5947319.1005905829</v>
      </c>
      <c r="AY30" s="14">
        <f t="shared" si="13"/>
        <v>6276031.5761826122</v>
      </c>
      <c r="AZ30" s="14">
        <f t="shared" si="13"/>
        <v>6531035.4433511179</v>
      </c>
      <c r="BA30" s="14">
        <f t="shared" si="13"/>
        <v>7100722.4720499236</v>
      </c>
      <c r="BB30" s="14">
        <f t="shared" si="13"/>
        <v>7539747.9227305446</v>
      </c>
      <c r="BC30" s="14">
        <f t="shared" si="13"/>
        <v>7910200.1558670718</v>
      </c>
      <c r="BD30" s="14">
        <f t="shared" si="13"/>
        <v>8601145.6079572998</v>
      </c>
      <c r="BE30" s="14">
        <f t="shared" si="13"/>
        <v>9167231.3323239144</v>
      </c>
      <c r="BF30" s="14">
        <f t="shared" si="13"/>
        <v>9670957.0029557347</v>
      </c>
      <c r="BG30" s="14">
        <f t="shared" si="13"/>
        <v>10501503.379541021</v>
      </c>
      <c r="BH30" s="14">
        <f t="shared" si="13"/>
        <v>11214025.751752447</v>
      </c>
      <c r="BI30" s="14">
        <f t="shared" si="13"/>
        <v>11871383.12074632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Drivers &amp; Assumptions</vt:lpstr>
      <vt:lpstr>DTC Revenue</vt:lpstr>
      <vt:lpstr>Wholesale by Country</vt:lpstr>
      <vt:lpstr>Retail Revenue</vt:lpstr>
      <vt:lpstr>Revenue Consolidation</vt:lpstr>
      <vt:lpstr>P&amp;L</vt:lpstr>
      <vt:lpstr>Balance Sheet</vt:lpstr>
      <vt:lpstr>Cash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Carl Hartmann</cp:lastModifiedBy>
  <cp:revision>0</cp:revision>
  <dcterms:created xsi:type="dcterms:W3CDTF">2026-03-29T04:13:26Z</dcterms:created>
  <dcterms:modified xsi:type="dcterms:W3CDTF">2026-04-15T22:57:39Z</dcterms:modified>
  <dc:language>en-US</dc:language>
</cp:coreProperties>
</file>